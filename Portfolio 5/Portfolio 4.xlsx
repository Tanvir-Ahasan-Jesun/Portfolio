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tajes\Desktop\EXCEL DASHBOARD\"/>
    </mc:Choice>
  </mc:AlternateContent>
  <xr:revisionPtr revIDLastSave="0" documentId="13_ncr:1_{8CD0A4EE-B378-4714-BFE2-C9FB06E9C55F}" xr6:coauthVersionLast="47" xr6:coauthVersionMax="47" xr10:uidLastSave="{00000000-0000-0000-0000-000000000000}"/>
  <bookViews>
    <workbookView xWindow="0" yWindow="360" windowWidth="23256" windowHeight="12456" activeTab="1" xr2:uid="{AB3871AD-17FD-48E1-8CB4-18034212C80E}"/>
  </bookViews>
  <sheets>
    <sheet name="Pivot_Data" sheetId="2" r:id="rId1"/>
    <sheet name="Dashboard" sheetId="3" r:id="rId2"/>
    <sheet name="Helper" sheetId="5" state="hidden" r:id="rId3"/>
    <sheet name="Table" sheetId="1" r:id="rId4"/>
  </sheets>
  <definedNames>
    <definedName name="_xlcn.WorksheetConnection_Book1Table11" hidden="1">StudentsTable[]</definedName>
    <definedName name="Slicer_Class">#N/A</definedName>
  </definedNames>
  <calcPr calcId="191029"/>
  <pivotCaches>
    <pivotCache cacheId="115" r:id="rId5"/>
    <pivotCache cacheId="118" r:id="rId6"/>
    <pivotCache cacheId="121" r:id="rId7"/>
    <pivotCache cacheId="124" r:id="rId8"/>
    <pivotCache cacheId="127" r:id="rId9"/>
  </pivotCaches>
  <extLst>
    <ext xmlns:x14="http://schemas.microsoft.com/office/spreadsheetml/2009/9/main" uri="{876F7934-8845-4945-9796-88D515C7AA90}">
      <x14:pivotCaches>
        <pivotCache cacheId="114"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 i="5" l="1" a="1"/>
  <c r="O4" i="5" s="1"/>
  <c r="K4" i="5" a="1"/>
  <c r="K4" i="5" s="1"/>
  <c r="I9" i="1"/>
  <c r="I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8" i="1"/>
  <c r="I7" i="1"/>
  <c r="I6" i="1"/>
  <c r="I5" i="1"/>
  <c r="I4" i="1"/>
  <c r="I3" i="1"/>
  <c r="J2" i="1"/>
  <c r="K2" i="1" s="1"/>
  <c r="E3" i="5" a="1"/>
  <c r="E3" i="5" s="1"/>
  <c r="L18" i="1" s="1"/>
  <c r="P5" i="2"/>
  <c r="N9" i="2"/>
  <c r="O9" i="2"/>
  <c r="P9" i="2"/>
  <c r="M9" i="2"/>
  <c r="L9" i="2"/>
  <c r="L8" i="2"/>
  <c r="M8" i="2"/>
  <c r="N8" i="2"/>
  <c r="O8" i="2"/>
  <c r="P8" i="2"/>
  <c r="L5" i="2"/>
  <c r="L7" i="2" s="1"/>
  <c r="M6" i="2"/>
  <c r="N6" i="2"/>
  <c r="O6" i="2"/>
  <c r="P6" i="2"/>
  <c r="L6" i="2"/>
  <c r="M5" i="2"/>
  <c r="N5" i="2"/>
  <c r="O5" i="2"/>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L800" i="1" l="1"/>
  <c r="L799" i="1"/>
  <c r="L927" i="1"/>
  <c r="L642" i="1"/>
  <c r="L641" i="1"/>
  <c r="L130" i="1"/>
  <c r="L129" i="1"/>
  <c r="L928" i="1"/>
  <c r="L896" i="1"/>
  <c r="L768" i="1"/>
  <c r="L514" i="1"/>
  <c r="L895" i="1"/>
  <c r="L767" i="1"/>
  <c r="L513" i="1"/>
  <c r="L992" i="1"/>
  <c r="L864" i="1"/>
  <c r="L736" i="1"/>
  <c r="L386" i="1"/>
  <c r="L991" i="1"/>
  <c r="L863" i="1"/>
  <c r="L735" i="1"/>
  <c r="L385" i="1"/>
  <c r="L960" i="1"/>
  <c r="L832" i="1"/>
  <c r="L704" i="1"/>
  <c r="L258" i="1"/>
  <c r="L959" i="1"/>
  <c r="L831" i="1"/>
  <c r="L703" i="1"/>
  <c r="L257" i="1"/>
  <c r="L984" i="1"/>
  <c r="L952" i="1"/>
  <c r="L920" i="1"/>
  <c r="L888" i="1"/>
  <c r="L856" i="1"/>
  <c r="L824" i="1"/>
  <c r="L792" i="1"/>
  <c r="L760" i="1"/>
  <c r="L728" i="1"/>
  <c r="L696" i="1"/>
  <c r="L610" i="1"/>
  <c r="L482" i="1"/>
  <c r="L354" i="1"/>
  <c r="L226" i="1"/>
  <c r="L98" i="1"/>
  <c r="L983" i="1"/>
  <c r="L951" i="1"/>
  <c r="L919" i="1"/>
  <c r="L887" i="1"/>
  <c r="L855" i="1"/>
  <c r="L823" i="1"/>
  <c r="L791" i="1"/>
  <c r="L759" i="1"/>
  <c r="L727" i="1"/>
  <c r="L695" i="1"/>
  <c r="L609" i="1"/>
  <c r="L481" i="1"/>
  <c r="L353" i="1"/>
  <c r="L225" i="1"/>
  <c r="L97" i="1"/>
  <c r="L976" i="1"/>
  <c r="L944" i="1"/>
  <c r="L912" i="1"/>
  <c r="L880" i="1"/>
  <c r="L848" i="1"/>
  <c r="L816" i="1"/>
  <c r="L784" i="1"/>
  <c r="L752" i="1"/>
  <c r="L720" i="1"/>
  <c r="L688" i="1"/>
  <c r="L578" i="1"/>
  <c r="L450" i="1"/>
  <c r="L322" i="1"/>
  <c r="L194" i="1"/>
  <c r="L66" i="1"/>
  <c r="L975" i="1"/>
  <c r="L943" i="1"/>
  <c r="L911" i="1"/>
  <c r="L879" i="1"/>
  <c r="L847" i="1"/>
  <c r="L815" i="1"/>
  <c r="L783" i="1"/>
  <c r="L751" i="1"/>
  <c r="L719" i="1"/>
  <c r="L687" i="1"/>
  <c r="L577" i="1"/>
  <c r="L449" i="1"/>
  <c r="L321" i="1"/>
  <c r="L193" i="1"/>
  <c r="L65" i="1"/>
  <c r="L1000" i="1"/>
  <c r="L968" i="1"/>
  <c r="L936" i="1"/>
  <c r="L904" i="1"/>
  <c r="L872" i="1"/>
  <c r="L840" i="1"/>
  <c r="L808" i="1"/>
  <c r="L776" i="1"/>
  <c r="L744" i="1"/>
  <c r="L712" i="1"/>
  <c r="L674" i="1"/>
  <c r="L546" i="1"/>
  <c r="L418" i="1"/>
  <c r="L290" i="1"/>
  <c r="L162" i="1"/>
  <c r="L34" i="1"/>
  <c r="L999" i="1"/>
  <c r="L967" i="1"/>
  <c r="L935" i="1"/>
  <c r="L903" i="1"/>
  <c r="L871" i="1"/>
  <c r="L839" i="1"/>
  <c r="L807" i="1"/>
  <c r="L775" i="1"/>
  <c r="L743" i="1"/>
  <c r="L711" i="1"/>
  <c r="L673" i="1"/>
  <c r="L545" i="1"/>
  <c r="L417" i="1"/>
  <c r="L289" i="1"/>
  <c r="L161" i="1"/>
  <c r="L33" i="1"/>
  <c r="L998" i="1"/>
  <c r="L990" i="1"/>
  <c r="L982" i="1"/>
  <c r="L974" i="1"/>
  <c r="L966" i="1"/>
  <c r="L958" i="1"/>
  <c r="L950" i="1"/>
  <c r="L942" i="1"/>
  <c r="L934" i="1"/>
  <c r="L926" i="1"/>
  <c r="L918" i="1"/>
  <c r="L910" i="1"/>
  <c r="L902" i="1"/>
  <c r="L894" i="1"/>
  <c r="L886" i="1"/>
  <c r="L878" i="1"/>
  <c r="L870" i="1"/>
  <c r="L862" i="1"/>
  <c r="L854" i="1"/>
  <c r="L846" i="1"/>
  <c r="L838" i="1"/>
  <c r="L830" i="1"/>
  <c r="L822" i="1"/>
  <c r="L814" i="1"/>
  <c r="L806" i="1"/>
  <c r="L798" i="1"/>
  <c r="L790" i="1"/>
  <c r="L782" i="1"/>
  <c r="L774" i="1"/>
  <c r="L766" i="1"/>
  <c r="L758" i="1"/>
  <c r="L750" i="1"/>
  <c r="L742" i="1"/>
  <c r="L734" i="1"/>
  <c r="L726" i="1"/>
  <c r="L718" i="1"/>
  <c r="L710" i="1"/>
  <c r="L702" i="1"/>
  <c r="L694" i="1"/>
  <c r="L686" i="1"/>
  <c r="L666" i="1"/>
  <c r="L634" i="1"/>
  <c r="L602" i="1"/>
  <c r="L570" i="1"/>
  <c r="L538" i="1"/>
  <c r="L506" i="1"/>
  <c r="L474" i="1"/>
  <c r="L442" i="1"/>
  <c r="L410" i="1"/>
  <c r="L378" i="1"/>
  <c r="L346" i="1"/>
  <c r="L314" i="1"/>
  <c r="L282" i="1"/>
  <c r="L250" i="1"/>
  <c r="L218" i="1"/>
  <c r="L186" i="1"/>
  <c r="L154" i="1"/>
  <c r="L122" i="1"/>
  <c r="L90" i="1"/>
  <c r="L58" i="1"/>
  <c r="L26" i="1"/>
  <c r="L997" i="1"/>
  <c r="L989" i="1"/>
  <c r="L981" i="1"/>
  <c r="L973" i="1"/>
  <c r="L965" i="1"/>
  <c r="L957" i="1"/>
  <c r="L949" i="1"/>
  <c r="L941" i="1"/>
  <c r="L933" i="1"/>
  <c r="L925" i="1"/>
  <c r="L917" i="1"/>
  <c r="L909" i="1"/>
  <c r="L901" i="1"/>
  <c r="L893" i="1"/>
  <c r="L885" i="1"/>
  <c r="L877" i="1"/>
  <c r="L869" i="1"/>
  <c r="L861" i="1"/>
  <c r="L853" i="1"/>
  <c r="L845" i="1"/>
  <c r="L837" i="1"/>
  <c r="L829" i="1"/>
  <c r="L821" i="1"/>
  <c r="L813" i="1"/>
  <c r="L805" i="1"/>
  <c r="L797" i="1"/>
  <c r="L789" i="1"/>
  <c r="L781" i="1"/>
  <c r="L773" i="1"/>
  <c r="L765" i="1"/>
  <c r="L757" i="1"/>
  <c r="L749" i="1"/>
  <c r="L741" i="1"/>
  <c r="L733" i="1"/>
  <c r="L725" i="1"/>
  <c r="L717" i="1"/>
  <c r="L709" i="1"/>
  <c r="L701" i="1"/>
  <c r="L693" i="1"/>
  <c r="L685" i="1"/>
  <c r="L665" i="1"/>
  <c r="L633" i="1"/>
  <c r="L601" i="1"/>
  <c r="L569" i="1"/>
  <c r="L537" i="1"/>
  <c r="L505" i="1"/>
  <c r="L473" i="1"/>
  <c r="L441" i="1"/>
  <c r="L409" i="1"/>
  <c r="L377" i="1"/>
  <c r="L345" i="1"/>
  <c r="L313" i="1"/>
  <c r="L281" i="1"/>
  <c r="L249" i="1"/>
  <c r="L217" i="1"/>
  <c r="L185" i="1"/>
  <c r="L153" i="1"/>
  <c r="L121" i="1"/>
  <c r="L89" i="1"/>
  <c r="L57" i="1"/>
  <c r="L25" i="1"/>
  <c r="L996" i="1"/>
  <c r="L988" i="1"/>
  <c r="L980" i="1"/>
  <c r="L972" i="1"/>
  <c r="L964" i="1"/>
  <c r="L956" i="1"/>
  <c r="L948" i="1"/>
  <c r="L940" i="1"/>
  <c r="L932" i="1"/>
  <c r="L924" i="1"/>
  <c r="L916" i="1"/>
  <c r="L908" i="1"/>
  <c r="L900" i="1"/>
  <c r="L892" i="1"/>
  <c r="L884" i="1"/>
  <c r="L876" i="1"/>
  <c r="L868" i="1"/>
  <c r="L860" i="1"/>
  <c r="L852" i="1"/>
  <c r="L844" i="1"/>
  <c r="L836" i="1"/>
  <c r="L828" i="1"/>
  <c r="L820" i="1"/>
  <c r="L812" i="1"/>
  <c r="L804" i="1"/>
  <c r="L796" i="1"/>
  <c r="L788" i="1"/>
  <c r="L780" i="1"/>
  <c r="L772" i="1"/>
  <c r="L764" i="1"/>
  <c r="L756" i="1"/>
  <c r="L748" i="1"/>
  <c r="L740" i="1"/>
  <c r="L732" i="1"/>
  <c r="L724" i="1"/>
  <c r="L716" i="1"/>
  <c r="L708" i="1"/>
  <c r="L700" i="1"/>
  <c r="L692" i="1"/>
  <c r="L684" i="1"/>
  <c r="L658" i="1"/>
  <c r="L626" i="1"/>
  <c r="L594" i="1"/>
  <c r="L562" i="1"/>
  <c r="L530" i="1"/>
  <c r="L498" i="1"/>
  <c r="L466" i="1"/>
  <c r="L434" i="1"/>
  <c r="L402" i="1"/>
  <c r="L370" i="1"/>
  <c r="L338" i="1"/>
  <c r="L306" i="1"/>
  <c r="L274" i="1"/>
  <c r="L242" i="1"/>
  <c r="L210" i="1"/>
  <c r="L178" i="1"/>
  <c r="L146" i="1"/>
  <c r="L114" i="1"/>
  <c r="L82" i="1"/>
  <c r="L50" i="1"/>
  <c r="L3" i="1"/>
  <c r="L11" i="1"/>
  <c r="L19" i="1"/>
  <c r="L27" i="1"/>
  <c r="L35" i="1"/>
  <c r="L43" i="1"/>
  <c r="L51" i="1"/>
  <c r="L59" i="1"/>
  <c r="L67" i="1"/>
  <c r="L75" i="1"/>
  <c r="L83" i="1"/>
  <c r="L91" i="1"/>
  <c r="L99" i="1"/>
  <c r="L107" i="1"/>
  <c r="L115" i="1"/>
  <c r="L123" i="1"/>
  <c r="L131" i="1"/>
  <c r="L139" i="1"/>
  <c r="L147" i="1"/>
  <c r="L155" i="1"/>
  <c r="L163" i="1"/>
  <c r="L171" i="1"/>
  <c r="L179" i="1"/>
  <c r="L187" i="1"/>
  <c r="L195" i="1"/>
  <c r="L203" i="1"/>
  <c r="L211" i="1"/>
  <c r="L219" i="1"/>
  <c r="L227" i="1"/>
  <c r="L235" i="1"/>
  <c r="L243" i="1"/>
  <c r="L251" i="1"/>
  <c r="L259" i="1"/>
  <c r="L267" i="1"/>
  <c r="L275" i="1"/>
  <c r="L283" i="1"/>
  <c r="L291" i="1"/>
  <c r="L299" i="1"/>
  <c r="L307" i="1"/>
  <c r="L315" i="1"/>
  <c r="L323" i="1"/>
  <c r="L331" i="1"/>
  <c r="L339" i="1"/>
  <c r="L347" i="1"/>
  <c r="L355" i="1"/>
  <c r="L363" i="1"/>
  <c r="L371" i="1"/>
  <c r="L379" i="1"/>
  <c r="L387" i="1"/>
  <c r="L395" i="1"/>
  <c r="L403" i="1"/>
  <c r="L411" i="1"/>
  <c r="L419" i="1"/>
  <c r="L427" i="1"/>
  <c r="L435" i="1"/>
  <c r="L443" i="1"/>
  <c r="L451" i="1"/>
  <c r="L459" i="1"/>
  <c r="L467" i="1"/>
  <c r="L475" i="1"/>
  <c r="L483" i="1"/>
  <c r="L491" i="1"/>
  <c r="L499" i="1"/>
  <c r="L507" i="1"/>
  <c r="L515" i="1"/>
  <c r="L523" i="1"/>
  <c r="L531" i="1"/>
  <c r="L539" i="1"/>
  <c r="L547" i="1"/>
  <c r="L555" i="1"/>
  <c r="L563" i="1"/>
  <c r="L571" i="1"/>
  <c r="L579" i="1"/>
  <c r="L587" i="1"/>
  <c r="L595" i="1"/>
  <c r="L603" i="1"/>
  <c r="L611" i="1"/>
  <c r="L619" i="1"/>
  <c r="L627" i="1"/>
  <c r="L635" i="1"/>
  <c r="L643" i="1"/>
  <c r="L651" i="1"/>
  <c r="L659" i="1"/>
  <c r="L667" i="1"/>
  <c r="L675" i="1"/>
  <c r="L4" i="1"/>
  <c r="L12" i="1"/>
  <c r="L20" i="1"/>
  <c r="L28" i="1"/>
  <c r="L36" i="1"/>
  <c r="L44" i="1"/>
  <c r="L52" i="1"/>
  <c r="L60" i="1"/>
  <c r="L68" i="1"/>
  <c r="L76" i="1"/>
  <c r="L84" i="1"/>
  <c r="L92" i="1"/>
  <c r="L100" i="1"/>
  <c r="L108" i="1"/>
  <c r="L116" i="1"/>
  <c r="L124" i="1"/>
  <c r="L132" i="1"/>
  <c r="L140" i="1"/>
  <c r="L148" i="1"/>
  <c r="L156" i="1"/>
  <c r="L164" i="1"/>
  <c r="L172" i="1"/>
  <c r="L180" i="1"/>
  <c r="L188" i="1"/>
  <c r="L196" i="1"/>
  <c r="L204" i="1"/>
  <c r="L212" i="1"/>
  <c r="L220" i="1"/>
  <c r="L228" i="1"/>
  <c r="L236" i="1"/>
  <c r="L244" i="1"/>
  <c r="L252" i="1"/>
  <c r="L260" i="1"/>
  <c r="L268" i="1"/>
  <c r="L276" i="1"/>
  <c r="L284" i="1"/>
  <c r="L292" i="1"/>
  <c r="L300" i="1"/>
  <c r="L308" i="1"/>
  <c r="L316" i="1"/>
  <c r="L324" i="1"/>
  <c r="L332" i="1"/>
  <c r="L340" i="1"/>
  <c r="L348" i="1"/>
  <c r="L356" i="1"/>
  <c r="L364" i="1"/>
  <c r="L372" i="1"/>
  <c r="L380" i="1"/>
  <c r="L388" i="1"/>
  <c r="L396" i="1"/>
  <c r="L404" i="1"/>
  <c r="L412" i="1"/>
  <c r="L420" i="1"/>
  <c r="L428" i="1"/>
  <c r="L436" i="1"/>
  <c r="L444" i="1"/>
  <c r="L452" i="1"/>
  <c r="L460" i="1"/>
  <c r="L468" i="1"/>
  <c r="L476" i="1"/>
  <c r="L484" i="1"/>
  <c r="L492" i="1"/>
  <c r="L500" i="1"/>
  <c r="L508" i="1"/>
  <c r="L516" i="1"/>
  <c r="L524" i="1"/>
  <c r="L532" i="1"/>
  <c r="L540" i="1"/>
  <c r="L548" i="1"/>
  <c r="L556" i="1"/>
  <c r="L564" i="1"/>
  <c r="L572" i="1"/>
  <c r="L580" i="1"/>
  <c r="L588" i="1"/>
  <c r="L596" i="1"/>
  <c r="L604" i="1"/>
  <c r="L612" i="1"/>
  <c r="L620" i="1"/>
  <c r="L628" i="1"/>
  <c r="L636" i="1"/>
  <c r="L644" i="1"/>
  <c r="L652" i="1"/>
  <c r="L660" i="1"/>
  <c r="L668" i="1"/>
  <c r="L676" i="1"/>
  <c r="L5" i="1"/>
  <c r="L13" i="1"/>
  <c r="L21" i="1"/>
  <c r="L29" i="1"/>
  <c r="L37" i="1"/>
  <c r="L45" i="1"/>
  <c r="L53" i="1"/>
  <c r="L61" i="1"/>
  <c r="L69" i="1"/>
  <c r="L77" i="1"/>
  <c r="L85" i="1"/>
  <c r="L93" i="1"/>
  <c r="L101" i="1"/>
  <c r="L109" i="1"/>
  <c r="L117" i="1"/>
  <c r="L125" i="1"/>
  <c r="L133" i="1"/>
  <c r="L141" i="1"/>
  <c r="L149" i="1"/>
  <c r="L157" i="1"/>
  <c r="L165" i="1"/>
  <c r="L173" i="1"/>
  <c r="L181" i="1"/>
  <c r="L189" i="1"/>
  <c r="L197" i="1"/>
  <c r="L205" i="1"/>
  <c r="L213" i="1"/>
  <c r="L221" i="1"/>
  <c r="L229" i="1"/>
  <c r="L237" i="1"/>
  <c r="L245" i="1"/>
  <c r="L253" i="1"/>
  <c r="L261" i="1"/>
  <c r="L269" i="1"/>
  <c r="L277" i="1"/>
  <c r="L285" i="1"/>
  <c r="L293" i="1"/>
  <c r="L301" i="1"/>
  <c r="L309" i="1"/>
  <c r="L317" i="1"/>
  <c r="L325" i="1"/>
  <c r="L333" i="1"/>
  <c r="L341" i="1"/>
  <c r="L349" i="1"/>
  <c r="L357" i="1"/>
  <c r="L365" i="1"/>
  <c r="L373" i="1"/>
  <c r="L381" i="1"/>
  <c r="L389" i="1"/>
  <c r="L397" i="1"/>
  <c r="L405" i="1"/>
  <c r="L413" i="1"/>
  <c r="L421" i="1"/>
  <c r="L429" i="1"/>
  <c r="L437" i="1"/>
  <c r="L445" i="1"/>
  <c r="L453" i="1"/>
  <c r="L461" i="1"/>
  <c r="L469" i="1"/>
  <c r="L477" i="1"/>
  <c r="L485" i="1"/>
  <c r="L493" i="1"/>
  <c r="L501" i="1"/>
  <c r="L509" i="1"/>
  <c r="L517" i="1"/>
  <c r="L525" i="1"/>
  <c r="L533" i="1"/>
  <c r="L541" i="1"/>
  <c r="L549" i="1"/>
  <c r="L557" i="1"/>
  <c r="L565" i="1"/>
  <c r="L573" i="1"/>
  <c r="L581" i="1"/>
  <c r="L589" i="1"/>
  <c r="L597" i="1"/>
  <c r="L605" i="1"/>
  <c r="L613" i="1"/>
  <c r="L621" i="1"/>
  <c r="L629" i="1"/>
  <c r="L637" i="1"/>
  <c r="L645" i="1"/>
  <c r="L653" i="1"/>
  <c r="L661" i="1"/>
  <c r="L669" i="1"/>
  <c r="L677" i="1"/>
  <c r="L6" i="1"/>
  <c r="L14" i="1"/>
  <c r="L22" i="1"/>
  <c r="L30" i="1"/>
  <c r="L38" i="1"/>
  <c r="L46" i="1"/>
  <c r="L54" i="1"/>
  <c r="L62" i="1"/>
  <c r="L70" i="1"/>
  <c r="L78" i="1"/>
  <c r="L86" i="1"/>
  <c r="L94" i="1"/>
  <c r="L102" i="1"/>
  <c r="L110" i="1"/>
  <c r="L118" i="1"/>
  <c r="L126" i="1"/>
  <c r="L134" i="1"/>
  <c r="L142" i="1"/>
  <c r="L150" i="1"/>
  <c r="L158" i="1"/>
  <c r="L166" i="1"/>
  <c r="L174" i="1"/>
  <c r="L182" i="1"/>
  <c r="L190" i="1"/>
  <c r="L198" i="1"/>
  <c r="L206" i="1"/>
  <c r="L214" i="1"/>
  <c r="L222" i="1"/>
  <c r="L230" i="1"/>
  <c r="L238" i="1"/>
  <c r="L246" i="1"/>
  <c r="L254" i="1"/>
  <c r="L262" i="1"/>
  <c r="L270" i="1"/>
  <c r="L278" i="1"/>
  <c r="L286" i="1"/>
  <c r="L294" i="1"/>
  <c r="L302" i="1"/>
  <c r="L310" i="1"/>
  <c r="L318" i="1"/>
  <c r="L326" i="1"/>
  <c r="L334" i="1"/>
  <c r="L342" i="1"/>
  <c r="L350" i="1"/>
  <c r="L358" i="1"/>
  <c r="L366" i="1"/>
  <c r="L374" i="1"/>
  <c r="L382" i="1"/>
  <c r="L390" i="1"/>
  <c r="L398" i="1"/>
  <c r="L406" i="1"/>
  <c r="L414" i="1"/>
  <c r="L422" i="1"/>
  <c r="L430" i="1"/>
  <c r="L438" i="1"/>
  <c r="L446" i="1"/>
  <c r="L454" i="1"/>
  <c r="L462" i="1"/>
  <c r="L470" i="1"/>
  <c r="L478" i="1"/>
  <c r="L486" i="1"/>
  <c r="L494" i="1"/>
  <c r="L502" i="1"/>
  <c r="L510" i="1"/>
  <c r="L518" i="1"/>
  <c r="L526" i="1"/>
  <c r="L534" i="1"/>
  <c r="L542" i="1"/>
  <c r="L550" i="1"/>
  <c r="L558" i="1"/>
  <c r="L566" i="1"/>
  <c r="L574" i="1"/>
  <c r="L582" i="1"/>
  <c r="L590" i="1"/>
  <c r="L598" i="1"/>
  <c r="L606" i="1"/>
  <c r="L614" i="1"/>
  <c r="L622" i="1"/>
  <c r="L630" i="1"/>
  <c r="L638" i="1"/>
  <c r="L646" i="1"/>
  <c r="L654" i="1"/>
  <c r="L662" i="1"/>
  <c r="L670" i="1"/>
  <c r="L678" i="1"/>
  <c r="L7" i="1"/>
  <c r="L15" i="1"/>
  <c r="L23" i="1"/>
  <c r="L31" i="1"/>
  <c r="L39" i="1"/>
  <c r="L47" i="1"/>
  <c r="L55" i="1"/>
  <c r="L63" i="1"/>
  <c r="L71" i="1"/>
  <c r="L79" i="1"/>
  <c r="L87" i="1"/>
  <c r="L95" i="1"/>
  <c r="L103" i="1"/>
  <c r="L111" i="1"/>
  <c r="L119" i="1"/>
  <c r="L127" i="1"/>
  <c r="L135" i="1"/>
  <c r="L143" i="1"/>
  <c r="L151" i="1"/>
  <c r="L159" i="1"/>
  <c r="L167" i="1"/>
  <c r="L175" i="1"/>
  <c r="L183" i="1"/>
  <c r="L191" i="1"/>
  <c r="L199" i="1"/>
  <c r="L207" i="1"/>
  <c r="L215" i="1"/>
  <c r="L223" i="1"/>
  <c r="L231" i="1"/>
  <c r="L239" i="1"/>
  <c r="L247" i="1"/>
  <c r="L255" i="1"/>
  <c r="L263" i="1"/>
  <c r="L271" i="1"/>
  <c r="L279" i="1"/>
  <c r="L287" i="1"/>
  <c r="L295" i="1"/>
  <c r="L303" i="1"/>
  <c r="L311" i="1"/>
  <c r="L319" i="1"/>
  <c r="L327" i="1"/>
  <c r="L335" i="1"/>
  <c r="L343" i="1"/>
  <c r="L351" i="1"/>
  <c r="L359" i="1"/>
  <c r="L367" i="1"/>
  <c r="L375" i="1"/>
  <c r="L383" i="1"/>
  <c r="L391" i="1"/>
  <c r="L399" i="1"/>
  <c r="L407" i="1"/>
  <c r="L415" i="1"/>
  <c r="L423" i="1"/>
  <c r="L431" i="1"/>
  <c r="L439" i="1"/>
  <c r="L447" i="1"/>
  <c r="L455" i="1"/>
  <c r="L463" i="1"/>
  <c r="L471" i="1"/>
  <c r="L479" i="1"/>
  <c r="L487" i="1"/>
  <c r="L495" i="1"/>
  <c r="L503" i="1"/>
  <c r="L511" i="1"/>
  <c r="L519" i="1"/>
  <c r="L527" i="1"/>
  <c r="L535" i="1"/>
  <c r="L543" i="1"/>
  <c r="L551" i="1"/>
  <c r="L559" i="1"/>
  <c r="L567" i="1"/>
  <c r="L575" i="1"/>
  <c r="L583" i="1"/>
  <c r="L591" i="1"/>
  <c r="L599" i="1"/>
  <c r="L607" i="1"/>
  <c r="L615" i="1"/>
  <c r="L623" i="1"/>
  <c r="L631" i="1"/>
  <c r="L639" i="1"/>
  <c r="L647" i="1"/>
  <c r="L655" i="1"/>
  <c r="L663" i="1"/>
  <c r="L671" i="1"/>
  <c r="L679" i="1"/>
  <c r="L8" i="1"/>
  <c r="L16" i="1"/>
  <c r="L24" i="1"/>
  <c r="L32" i="1"/>
  <c r="L40" i="1"/>
  <c r="L48" i="1"/>
  <c r="L56" i="1"/>
  <c r="L64" i="1"/>
  <c r="L72" i="1"/>
  <c r="L80" i="1"/>
  <c r="L88" i="1"/>
  <c r="L96" i="1"/>
  <c r="L104" i="1"/>
  <c r="L112" i="1"/>
  <c r="L120" i="1"/>
  <c r="L128" i="1"/>
  <c r="L136" i="1"/>
  <c r="L144" i="1"/>
  <c r="L152" i="1"/>
  <c r="L160" i="1"/>
  <c r="L168" i="1"/>
  <c r="L176" i="1"/>
  <c r="L184" i="1"/>
  <c r="L192" i="1"/>
  <c r="L200" i="1"/>
  <c r="L208" i="1"/>
  <c r="L216" i="1"/>
  <c r="L224" i="1"/>
  <c r="L232" i="1"/>
  <c r="L240" i="1"/>
  <c r="L248" i="1"/>
  <c r="L256" i="1"/>
  <c r="L264" i="1"/>
  <c r="L272" i="1"/>
  <c r="L280" i="1"/>
  <c r="L288" i="1"/>
  <c r="L296" i="1"/>
  <c r="L304" i="1"/>
  <c r="L312" i="1"/>
  <c r="L320" i="1"/>
  <c r="L328" i="1"/>
  <c r="L336" i="1"/>
  <c r="L344" i="1"/>
  <c r="L352" i="1"/>
  <c r="L360" i="1"/>
  <c r="L368" i="1"/>
  <c r="L376" i="1"/>
  <c r="L384" i="1"/>
  <c r="L392" i="1"/>
  <c r="L400" i="1"/>
  <c r="L408" i="1"/>
  <c r="L416" i="1"/>
  <c r="L424" i="1"/>
  <c r="L432" i="1"/>
  <c r="L440" i="1"/>
  <c r="L448" i="1"/>
  <c r="L456" i="1"/>
  <c r="L464" i="1"/>
  <c r="L472" i="1"/>
  <c r="L480" i="1"/>
  <c r="L488" i="1"/>
  <c r="L496" i="1"/>
  <c r="L504" i="1"/>
  <c r="L512" i="1"/>
  <c r="L520" i="1"/>
  <c r="L528" i="1"/>
  <c r="L536" i="1"/>
  <c r="L544" i="1"/>
  <c r="L552" i="1"/>
  <c r="L560" i="1"/>
  <c r="L568" i="1"/>
  <c r="L576" i="1"/>
  <c r="L584" i="1"/>
  <c r="L592" i="1"/>
  <c r="L600" i="1"/>
  <c r="L608" i="1"/>
  <c r="L616" i="1"/>
  <c r="L624" i="1"/>
  <c r="L632" i="1"/>
  <c r="L640" i="1"/>
  <c r="L648" i="1"/>
  <c r="L656" i="1"/>
  <c r="L664" i="1"/>
  <c r="L672" i="1"/>
  <c r="L680" i="1"/>
  <c r="L995" i="1"/>
  <c r="L987" i="1"/>
  <c r="L979" i="1"/>
  <c r="L971" i="1"/>
  <c r="L963" i="1"/>
  <c r="L955" i="1"/>
  <c r="L947" i="1"/>
  <c r="L939" i="1"/>
  <c r="L931" i="1"/>
  <c r="L923" i="1"/>
  <c r="L915" i="1"/>
  <c r="L907" i="1"/>
  <c r="L899" i="1"/>
  <c r="L891" i="1"/>
  <c r="L883" i="1"/>
  <c r="L875" i="1"/>
  <c r="L867" i="1"/>
  <c r="L859" i="1"/>
  <c r="L851" i="1"/>
  <c r="L843" i="1"/>
  <c r="L835" i="1"/>
  <c r="L827" i="1"/>
  <c r="L819" i="1"/>
  <c r="L811" i="1"/>
  <c r="L803" i="1"/>
  <c r="L795" i="1"/>
  <c r="L787" i="1"/>
  <c r="L779" i="1"/>
  <c r="L771" i="1"/>
  <c r="L763" i="1"/>
  <c r="L755" i="1"/>
  <c r="L747" i="1"/>
  <c r="L739" i="1"/>
  <c r="L731" i="1"/>
  <c r="L723" i="1"/>
  <c r="L715" i="1"/>
  <c r="L707" i="1"/>
  <c r="L699" i="1"/>
  <c r="L691" i="1"/>
  <c r="L683" i="1"/>
  <c r="L657" i="1"/>
  <c r="L625" i="1"/>
  <c r="L593" i="1"/>
  <c r="L561" i="1"/>
  <c r="L529" i="1"/>
  <c r="L497" i="1"/>
  <c r="L465" i="1"/>
  <c r="L433" i="1"/>
  <c r="L401" i="1"/>
  <c r="L369" i="1"/>
  <c r="L337" i="1"/>
  <c r="L305" i="1"/>
  <c r="L273" i="1"/>
  <c r="L241" i="1"/>
  <c r="L209" i="1"/>
  <c r="L177" i="1"/>
  <c r="L145" i="1"/>
  <c r="L113" i="1"/>
  <c r="L81" i="1"/>
  <c r="L49" i="1"/>
  <c r="L17" i="1"/>
  <c r="L2" i="1"/>
  <c r="L994" i="1"/>
  <c r="L986" i="1"/>
  <c r="L978" i="1"/>
  <c r="L970" i="1"/>
  <c r="L962" i="1"/>
  <c r="L954" i="1"/>
  <c r="L946" i="1"/>
  <c r="L938" i="1"/>
  <c r="L930" i="1"/>
  <c r="L922" i="1"/>
  <c r="L914" i="1"/>
  <c r="L906" i="1"/>
  <c r="L898" i="1"/>
  <c r="L890" i="1"/>
  <c r="L882" i="1"/>
  <c r="L874" i="1"/>
  <c r="L866" i="1"/>
  <c r="L858" i="1"/>
  <c r="L850" i="1"/>
  <c r="L842" i="1"/>
  <c r="L834" i="1"/>
  <c r="L826" i="1"/>
  <c r="L818" i="1"/>
  <c r="L810" i="1"/>
  <c r="L802" i="1"/>
  <c r="L794" i="1"/>
  <c r="L786" i="1"/>
  <c r="L778" i="1"/>
  <c r="L770" i="1"/>
  <c r="L762" i="1"/>
  <c r="L754" i="1"/>
  <c r="L746" i="1"/>
  <c r="L738" i="1"/>
  <c r="L730" i="1"/>
  <c r="L722" i="1"/>
  <c r="L714" i="1"/>
  <c r="L706" i="1"/>
  <c r="L698" i="1"/>
  <c r="L690" i="1"/>
  <c r="L682" i="1"/>
  <c r="L650" i="1"/>
  <c r="L618" i="1"/>
  <c r="L586" i="1"/>
  <c r="L554" i="1"/>
  <c r="L522" i="1"/>
  <c r="L490" i="1"/>
  <c r="L458" i="1"/>
  <c r="L426" i="1"/>
  <c r="L394" i="1"/>
  <c r="L362" i="1"/>
  <c r="L330" i="1"/>
  <c r="L298" i="1"/>
  <c r="L266" i="1"/>
  <c r="L234" i="1"/>
  <c r="L202" i="1"/>
  <c r="L170" i="1"/>
  <c r="L138" i="1"/>
  <c r="L106" i="1"/>
  <c r="L74" i="1"/>
  <c r="L42" i="1"/>
  <c r="L10" i="1"/>
  <c r="L1001" i="1"/>
  <c r="L993" i="1"/>
  <c r="L985" i="1"/>
  <c r="L977" i="1"/>
  <c r="L969" i="1"/>
  <c r="L961" i="1"/>
  <c r="L953" i="1"/>
  <c r="L945" i="1"/>
  <c r="L937" i="1"/>
  <c r="L929" i="1"/>
  <c r="L921" i="1"/>
  <c r="L913" i="1"/>
  <c r="L905" i="1"/>
  <c r="L897" i="1"/>
  <c r="L889" i="1"/>
  <c r="L881" i="1"/>
  <c r="L873" i="1"/>
  <c r="L865" i="1"/>
  <c r="L857" i="1"/>
  <c r="L849" i="1"/>
  <c r="L841" i="1"/>
  <c r="L833" i="1"/>
  <c r="L825" i="1"/>
  <c r="L817" i="1"/>
  <c r="L809" i="1"/>
  <c r="L801" i="1"/>
  <c r="L793" i="1"/>
  <c r="L785" i="1"/>
  <c r="L777" i="1"/>
  <c r="L769" i="1"/>
  <c r="L761" i="1"/>
  <c r="L753" i="1"/>
  <c r="L745" i="1"/>
  <c r="L737" i="1"/>
  <c r="L729" i="1"/>
  <c r="L721" i="1"/>
  <c r="L713" i="1"/>
  <c r="L705" i="1"/>
  <c r="L697" i="1"/>
  <c r="L689" i="1"/>
  <c r="L681" i="1"/>
  <c r="L649" i="1"/>
  <c r="L617" i="1"/>
  <c r="L585" i="1"/>
  <c r="L553" i="1"/>
  <c r="L521" i="1"/>
  <c r="L489" i="1"/>
  <c r="L457" i="1"/>
  <c r="L425" i="1"/>
  <c r="L393" i="1"/>
  <c r="L361" i="1"/>
  <c r="L329" i="1"/>
  <c r="L297" i="1"/>
  <c r="L265" i="1"/>
  <c r="L233" i="1"/>
  <c r="L201" i="1"/>
  <c r="L169" i="1"/>
  <c r="L137" i="1"/>
  <c r="L105" i="1"/>
  <c r="L73" i="1"/>
  <c r="L41" i="1"/>
  <c r="L9" i="1"/>
  <c r="O7" i="2"/>
  <c r="Q9" i="2"/>
  <c r="P7" i="2"/>
  <c r="Q6" i="2"/>
  <c r="Q5" i="2"/>
  <c r="Q8" i="2"/>
  <c r="M7" i="2"/>
  <c r="N7" i="2"/>
  <c r="E7" i="3" l="1"/>
  <c r="I7" i="3"/>
  <c r="A7" i="3"/>
  <c r="N7" i="3"/>
  <c r="Q7" i="2"/>
  <c r="A19" i="3" l="1" a="1"/>
  <c r="A19" i="3" s="1"/>
  <c r="E19" i="3" a="1"/>
  <c r="E19"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F716B8-4F86-4D33-9295-DF719C89A66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50DBEED-6C0F-44D4-9CE9-38C848A384B5}"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<sst xmlns="http://schemas.openxmlformats.org/spreadsheetml/2006/main" count="3084" uniqueCount="2038">
  <si>
    <t>Class C</t>
  </si>
  <si>
    <t>Kyle Boyd</t>
  </si>
  <si>
    <t>S1000</t>
  </si>
  <si>
    <t>Class D</t>
  </si>
  <si>
    <t>Walter Davidson</t>
  </si>
  <si>
    <t>S0999</t>
  </si>
  <si>
    <t>Johnny Perez</t>
  </si>
  <si>
    <t>S0998</t>
  </si>
  <si>
    <t>Class A</t>
  </si>
  <si>
    <t>Frank Drake</t>
  </si>
  <si>
    <t>S0997</t>
  </si>
  <si>
    <t>Jamie Sherman</t>
  </si>
  <si>
    <t>S0996</t>
  </si>
  <si>
    <t>Mark Campbell</t>
  </si>
  <si>
    <t>S0995</t>
  </si>
  <si>
    <t>Bailey Miller</t>
  </si>
  <si>
    <t>S0994</t>
  </si>
  <si>
    <t>Class B</t>
  </si>
  <si>
    <t>Jake Riley</t>
  </si>
  <si>
    <t>S0993</t>
  </si>
  <si>
    <t>Timothy Perez</t>
  </si>
  <si>
    <t>S0992</t>
  </si>
  <si>
    <t>Heather Krause</t>
  </si>
  <si>
    <t>S0991</t>
  </si>
  <si>
    <t>Sarah Gomez</t>
  </si>
  <si>
    <t>S0990</t>
  </si>
  <si>
    <t>Dominique Bradley</t>
  </si>
  <si>
    <t>S0989</t>
  </si>
  <si>
    <t>Joseph Robinson</t>
  </si>
  <si>
    <t>S0988</t>
  </si>
  <si>
    <t>Megan Sanchez</t>
  </si>
  <si>
    <t>S0987</t>
  </si>
  <si>
    <t>Seth Garrett</t>
  </si>
  <si>
    <t>S0986</t>
  </si>
  <si>
    <t>Brittany Carrillo</t>
  </si>
  <si>
    <t>S0985</t>
  </si>
  <si>
    <t>Donna Jackson</t>
  </si>
  <si>
    <t>S0984</t>
  </si>
  <si>
    <t>Matthew Hutchinson</t>
  </si>
  <si>
    <t>S0983</t>
  </si>
  <si>
    <t>Kimberly Richardson</t>
  </si>
  <si>
    <t>S0982</t>
  </si>
  <si>
    <t>Eric Keller</t>
  </si>
  <si>
    <t>S0981</t>
  </si>
  <si>
    <t>Christopher Anderson</t>
  </si>
  <si>
    <t>S0980</t>
  </si>
  <si>
    <t>Robert Kim</t>
  </si>
  <si>
    <t>S0979</t>
  </si>
  <si>
    <t>Thomas Thompson</t>
  </si>
  <si>
    <t>S0978</t>
  </si>
  <si>
    <t>Ashley Alvarez</t>
  </si>
  <si>
    <t>S0977</t>
  </si>
  <si>
    <t>Beth Chavez</t>
  </si>
  <si>
    <t>S0976</t>
  </si>
  <si>
    <t>Charles Barr</t>
  </si>
  <si>
    <t>S0975</t>
  </si>
  <si>
    <t>Michael Ramirez</t>
  </si>
  <si>
    <t>S0974</t>
  </si>
  <si>
    <t>Cathy Sloan</t>
  </si>
  <si>
    <t>S0973</t>
  </si>
  <si>
    <t>Ryan Livingston</t>
  </si>
  <si>
    <t>S0972</t>
  </si>
  <si>
    <t>Ryan Nguyen</t>
  </si>
  <si>
    <t>S0971</t>
  </si>
  <si>
    <t>Christopher Gilbert</t>
  </si>
  <si>
    <t>S0970</t>
  </si>
  <si>
    <t>Jessica Wells</t>
  </si>
  <si>
    <t>S0969</t>
  </si>
  <si>
    <t>Michael Johnson</t>
  </si>
  <si>
    <t>S0968</t>
  </si>
  <si>
    <t>Steve Watson MD</t>
  </si>
  <si>
    <t>S0967</t>
  </si>
  <si>
    <t>Christina Patel</t>
  </si>
  <si>
    <t>S0966</t>
  </si>
  <si>
    <t>Jennifer Johnson</t>
  </si>
  <si>
    <t>S0965</t>
  </si>
  <si>
    <t>Bryan Kim</t>
  </si>
  <si>
    <t>S0964</t>
  </si>
  <si>
    <t>Janet Diaz</t>
  </si>
  <si>
    <t>S0963</t>
  </si>
  <si>
    <t>Lori Dean</t>
  </si>
  <si>
    <t>S0962</t>
  </si>
  <si>
    <t>Rachel Curry</t>
  </si>
  <si>
    <t>S0961</t>
  </si>
  <si>
    <t>Joel Sanders</t>
  </si>
  <si>
    <t>S0960</t>
  </si>
  <si>
    <t>Mr. William Lewis DDS</t>
  </si>
  <si>
    <t>S0959</t>
  </si>
  <si>
    <t>Tiffany Hayes</t>
  </si>
  <si>
    <t>S0958</t>
  </si>
  <si>
    <t>Lisa Kennedy</t>
  </si>
  <si>
    <t>S0957</t>
  </si>
  <si>
    <t>Erin Foster</t>
  </si>
  <si>
    <t>S0956</t>
  </si>
  <si>
    <t>Kendra Anderson</t>
  </si>
  <si>
    <t>S0955</t>
  </si>
  <si>
    <t>Brooke Case</t>
  </si>
  <si>
    <t>S0954</t>
  </si>
  <si>
    <t>Elizabeth Sparks</t>
  </si>
  <si>
    <t>S0953</t>
  </si>
  <si>
    <t>David Meyer</t>
  </si>
  <si>
    <t>S0952</t>
  </si>
  <si>
    <t>Heather Stewart</t>
  </si>
  <si>
    <t>S0951</t>
  </si>
  <si>
    <t>Cathy Odom</t>
  </si>
  <si>
    <t>S0950</t>
  </si>
  <si>
    <t>Andrea Hall</t>
  </si>
  <si>
    <t>S0949</t>
  </si>
  <si>
    <t>Jennifer Maynard</t>
  </si>
  <si>
    <t>S0948</t>
  </si>
  <si>
    <t>Anthony Weber</t>
  </si>
  <si>
    <t>S0947</t>
  </si>
  <si>
    <t>Charles Frazier</t>
  </si>
  <si>
    <t>S0946</t>
  </si>
  <si>
    <t>Amanda Anderson</t>
  </si>
  <si>
    <t>S0945</t>
  </si>
  <si>
    <t>Suzanne Baker</t>
  </si>
  <si>
    <t>S0944</t>
  </si>
  <si>
    <t>Jessica King</t>
  </si>
  <si>
    <t>S0943</t>
  </si>
  <si>
    <t>David Myers</t>
  </si>
  <si>
    <t>S0942</t>
  </si>
  <si>
    <t>Dan Wright</t>
  </si>
  <si>
    <t>S0941</t>
  </si>
  <si>
    <t>Janet Escobar</t>
  </si>
  <si>
    <t>S0940</t>
  </si>
  <si>
    <t>Amanda Espinoza</t>
  </si>
  <si>
    <t>S0939</t>
  </si>
  <si>
    <t>Kristy Gonzalez</t>
  </si>
  <si>
    <t>S0938</t>
  </si>
  <si>
    <t>S0937</t>
  </si>
  <si>
    <t>Misty Garcia</t>
  </si>
  <si>
    <t>S0936</t>
  </si>
  <si>
    <t>Peter Fields</t>
  </si>
  <si>
    <t>S0935</t>
  </si>
  <si>
    <t>Michael Christensen</t>
  </si>
  <si>
    <t>S0934</t>
  </si>
  <si>
    <t>Laura Watson</t>
  </si>
  <si>
    <t>S0933</t>
  </si>
  <si>
    <t>Shannon Reyes</t>
  </si>
  <si>
    <t>S0932</t>
  </si>
  <si>
    <t>Maria Gross</t>
  </si>
  <si>
    <t>S0931</t>
  </si>
  <si>
    <t>Elizabeth Maxwell</t>
  </si>
  <si>
    <t>S0930</t>
  </si>
  <si>
    <t>Justin Walker</t>
  </si>
  <si>
    <t>S0929</t>
  </si>
  <si>
    <t>Julie Ruiz</t>
  </si>
  <si>
    <t>S0928</t>
  </si>
  <si>
    <t>Joel Hill</t>
  </si>
  <si>
    <t>S0927</t>
  </si>
  <si>
    <t>Vincent Rowe</t>
  </si>
  <si>
    <t>S0926</t>
  </si>
  <si>
    <t>Amber Carpenter</t>
  </si>
  <si>
    <t>S0925</t>
  </si>
  <si>
    <t>Adam Adams</t>
  </si>
  <si>
    <t>S0924</t>
  </si>
  <si>
    <t>Kelly Oliver</t>
  </si>
  <si>
    <t>S0923</t>
  </si>
  <si>
    <t>Debra Johnson</t>
  </si>
  <si>
    <t>S0922</t>
  </si>
  <si>
    <t>Elizabeth Lewis</t>
  </si>
  <si>
    <t>S0921</t>
  </si>
  <si>
    <t>Stephanie Gilmore</t>
  </si>
  <si>
    <t>S0920</t>
  </si>
  <si>
    <t>James Jones</t>
  </si>
  <si>
    <t>S0919</t>
  </si>
  <si>
    <t>Amy Cooper</t>
  </si>
  <si>
    <t>S0918</t>
  </si>
  <si>
    <t>Scott Eaton</t>
  </si>
  <si>
    <t>S0917</t>
  </si>
  <si>
    <t>Victoria Garcia</t>
  </si>
  <si>
    <t>S0916</t>
  </si>
  <si>
    <t>Mary Andrews</t>
  </si>
  <si>
    <t>S0915</t>
  </si>
  <si>
    <t>Amanda Jordan</t>
  </si>
  <si>
    <t>S0914</t>
  </si>
  <si>
    <t>Vicki Moore</t>
  </si>
  <si>
    <t>S0913</t>
  </si>
  <si>
    <t>Gina Hardy</t>
  </si>
  <si>
    <t>S0912</t>
  </si>
  <si>
    <t>Julie Schmidt</t>
  </si>
  <si>
    <t>S0911</t>
  </si>
  <si>
    <t>Dylan Hill</t>
  </si>
  <si>
    <t>S0910</t>
  </si>
  <si>
    <t>Kevin Garrett</t>
  </si>
  <si>
    <t>S0909</t>
  </si>
  <si>
    <t>David Williams</t>
  </si>
  <si>
    <t>S0908</t>
  </si>
  <si>
    <t>William Wilkins</t>
  </si>
  <si>
    <t>S0907</t>
  </si>
  <si>
    <t>Trevor Zuniga</t>
  </si>
  <si>
    <t>S0906</t>
  </si>
  <si>
    <t>John Cooper</t>
  </si>
  <si>
    <t>S0905</t>
  </si>
  <si>
    <t>Danny Harrison</t>
  </si>
  <si>
    <t>S0904</t>
  </si>
  <si>
    <t>Steve Chapman</t>
  </si>
  <si>
    <t>S0903</t>
  </si>
  <si>
    <t>Ms. Julia Diaz</t>
  </si>
  <si>
    <t>S0902</t>
  </si>
  <si>
    <t>Scott Lee</t>
  </si>
  <si>
    <t>S0901</t>
  </si>
  <si>
    <t>Darren Schneider</t>
  </si>
  <si>
    <t>S0900</t>
  </si>
  <si>
    <t>Jennifer Jones</t>
  </si>
  <si>
    <t>S0899</t>
  </si>
  <si>
    <t>Daniel James</t>
  </si>
  <si>
    <t>S0898</t>
  </si>
  <si>
    <t>Amanda Mason</t>
  </si>
  <si>
    <t>S0897</t>
  </si>
  <si>
    <t>Wendy Baker</t>
  </si>
  <si>
    <t>S0896</t>
  </si>
  <si>
    <t>Heidi Strickland</t>
  </si>
  <si>
    <t>S0895</t>
  </si>
  <si>
    <t>Jason House</t>
  </si>
  <si>
    <t>S0894</t>
  </si>
  <si>
    <t>Chelsea Fitzpatrick</t>
  </si>
  <si>
    <t>S0893</t>
  </si>
  <si>
    <t>Scott Avery</t>
  </si>
  <si>
    <t>S0892</t>
  </si>
  <si>
    <t>Vanessa Hampton</t>
  </si>
  <si>
    <t>S0891</t>
  </si>
  <si>
    <t>Jessica Dunlap</t>
  </si>
  <si>
    <t>S0890</t>
  </si>
  <si>
    <t>Steven Hubbard</t>
  </si>
  <si>
    <t>S0889</t>
  </si>
  <si>
    <t>Amy Price</t>
  </si>
  <si>
    <t>S0888</t>
  </si>
  <si>
    <t>Katie Clark</t>
  </si>
  <si>
    <t>S0887</t>
  </si>
  <si>
    <t>John Davis</t>
  </si>
  <si>
    <t>S0886</t>
  </si>
  <si>
    <t>Leslie Williams</t>
  </si>
  <si>
    <t>S0885</t>
  </si>
  <si>
    <t>Jennifer Perez</t>
  </si>
  <si>
    <t>S0884</t>
  </si>
  <si>
    <t>Victor Morgan</t>
  </si>
  <si>
    <t>S0883</t>
  </si>
  <si>
    <t>Sharon Cannon</t>
  </si>
  <si>
    <t>S0882</t>
  </si>
  <si>
    <t>Philip Kramer</t>
  </si>
  <si>
    <t>S0881</t>
  </si>
  <si>
    <t>Courtney Ryan</t>
  </si>
  <si>
    <t>S0880</t>
  </si>
  <si>
    <t>Scott Butler</t>
  </si>
  <si>
    <t>S0879</t>
  </si>
  <si>
    <t>Travis Smith</t>
  </si>
  <si>
    <t>S0878</t>
  </si>
  <si>
    <t>William Jones</t>
  </si>
  <si>
    <t>S0877</t>
  </si>
  <si>
    <t>Tyler Browning</t>
  </si>
  <si>
    <t>S0876</t>
  </si>
  <si>
    <t>Aaron Warner</t>
  </si>
  <si>
    <t>S0875</t>
  </si>
  <si>
    <t>Ryan Smith</t>
  </si>
  <si>
    <t>S0874</t>
  </si>
  <si>
    <t>Annette Johnson</t>
  </si>
  <si>
    <t>S0873</t>
  </si>
  <si>
    <t>Heather Ford</t>
  </si>
  <si>
    <t>S0872</t>
  </si>
  <si>
    <t>Troy Woods</t>
  </si>
  <si>
    <t>S0871</t>
  </si>
  <si>
    <t>Tyler Palmer</t>
  </si>
  <si>
    <t>S0870</t>
  </si>
  <si>
    <t>Manuel Cook</t>
  </si>
  <si>
    <t>S0869</t>
  </si>
  <si>
    <t>Jason Parker</t>
  </si>
  <si>
    <t>S0868</t>
  </si>
  <si>
    <t>Karen Murphy</t>
  </si>
  <si>
    <t>S0867</t>
  </si>
  <si>
    <t>Don Singh</t>
  </si>
  <si>
    <t>S0866</t>
  </si>
  <si>
    <t>Michael Patel</t>
  </si>
  <si>
    <t>S0865</t>
  </si>
  <si>
    <t>Matthew Peterson</t>
  </si>
  <si>
    <t>S0864</t>
  </si>
  <si>
    <t>Norma Melendez</t>
  </si>
  <si>
    <t>S0863</t>
  </si>
  <si>
    <t>Shirley Boyle</t>
  </si>
  <si>
    <t>S0862</t>
  </si>
  <si>
    <t>Kathryn Alvarez</t>
  </si>
  <si>
    <t>S0861</t>
  </si>
  <si>
    <t>Kenneth Cameron</t>
  </si>
  <si>
    <t>S0860</t>
  </si>
  <si>
    <t>Margaret Spencer</t>
  </si>
  <si>
    <t>S0859</t>
  </si>
  <si>
    <t>Patricia Ritter</t>
  </si>
  <si>
    <t>S0858</t>
  </si>
  <si>
    <t>Matthew Nelson</t>
  </si>
  <si>
    <t>S0857</t>
  </si>
  <si>
    <t>Eddie Lane</t>
  </si>
  <si>
    <t>S0856</t>
  </si>
  <si>
    <t>Stacie Jensen</t>
  </si>
  <si>
    <t>S0855</t>
  </si>
  <si>
    <t>Kelly Burnett</t>
  </si>
  <si>
    <t>S0854</t>
  </si>
  <si>
    <t>Bobby Salazar</t>
  </si>
  <si>
    <t>S0853</t>
  </si>
  <si>
    <t>Cynthia Johnson</t>
  </si>
  <si>
    <t>S0852</t>
  </si>
  <si>
    <t>Amanda Jackson</t>
  </si>
  <si>
    <t>S0851</t>
  </si>
  <si>
    <t>Melissa Bailey</t>
  </si>
  <si>
    <t>S0850</t>
  </si>
  <si>
    <t>James Sanders</t>
  </si>
  <si>
    <t>S0849</t>
  </si>
  <si>
    <t>Eileen Adkins</t>
  </si>
  <si>
    <t>S0848</t>
  </si>
  <si>
    <t>Kimberly Baker</t>
  </si>
  <si>
    <t>S0847</t>
  </si>
  <si>
    <t>Joshua Diaz</t>
  </si>
  <si>
    <t>S0846</t>
  </si>
  <si>
    <t>Maria Henderson</t>
  </si>
  <si>
    <t>S0845</t>
  </si>
  <si>
    <t>Kim Moore</t>
  </si>
  <si>
    <t>S0844</t>
  </si>
  <si>
    <t>Anthony Morales</t>
  </si>
  <si>
    <t>S0843</t>
  </si>
  <si>
    <t>Carl Cox</t>
  </si>
  <si>
    <t>S0842</t>
  </si>
  <si>
    <t>Michael Patton</t>
  </si>
  <si>
    <t>S0841</t>
  </si>
  <si>
    <t>Nicole Lewis</t>
  </si>
  <si>
    <t>S0840</t>
  </si>
  <si>
    <t>Cristian Juarez</t>
  </si>
  <si>
    <t>S0839</t>
  </si>
  <si>
    <t>Andrew Floyd</t>
  </si>
  <si>
    <t>S0838</t>
  </si>
  <si>
    <t>Maria Mills</t>
  </si>
  <si>
    <t>S0837</t>
  </si>
  <si>
    <t>Carolyn Rodriguez</t>
  </si>
  <si>
    <t>S0836</t>
  </si>
  <si>
    <t>Mrs. Amanda Davis MD</t>
  </si>
  <si>
    <t>S0835</t>
  </si>
  <si>
    <t>Michael Wright</t>
  </si>
  <si>
    <t>S0834</t>
  </si>
  <si>
    <t>Shawn Brown</t>
  </si>
  <si>
    <t>S0833</t>
  </si>
  <si>
    <t>Jacqueline Scott</t>
  </si>
  <si>
    <t>S0832</t>
  </si>
  <si>
    <t>Jennifer Patterson</t>
  </si>
  <si>
    <t>S0831</t>
  </si>
  <si>
    <t>Devin Williamson</t>
  </si>
  <si>
    <t>S0830</t>
  </si>
  <si>
    <t>John Williams</t>
  </si>
  <si>
    <t>S0829</t>
  </si>
  <si>
    <t>Timothy Knox DDS</t>
  </si>
  <si>
    <t>S0828</t>
  </si>
  <si>
    <t>Deborah Alvarez</t>
  </si>
  <si>
    <t>S0827</t>
  </si>
  <si>
    <t>Ashley Jones</t>
  </si>
  <si>
    <t>S0826</t>
  </si>
  <si>
    <t>Katie Miller</t>
  </si>
  <si>
    <t>S0825</t>
  </si>
  <si>
    <t>Craig Mooney</t>
  </si>
  <si>
    <t>S0824</t>
  </si>
  <si>
    <t>Dawn Stokes MD</t>
  </si>
  <si>
    <t>S0823</t>
  </si>
  <si>
    <t>Virginia Campbell</t>
  </si>
  <si>
    <t>S0822</t>
  </si>
  <si>
    <t>Jorge Jones</t>
  </si>
  <si>
    <t>S0821</t>
  </si>
  <si>
    <t>Angela Burton</t>
  </si>
  <si>
    <t>S0820</t>
  </si>
  <si>
    <t>David Stanton</t>
  </si>
  <si>
    <t>S0819</t>
  </si>
  <si>
    <t>Michael Norton Jr.</t>
  </si>
  <si>
    <t>S0818</t>
  </si>
  <si>
    <t>John White</t>
  </si>
  <si>
    <t>S0817</t>
  </si>
  <si>
    <t>Alexandria Kane</t>
  </si>
  <si>
    <t>S0816</t>
  </si>
  <si>
    <t>Bryan Henry</t>
  </si>
  <si>
    <t>S0815</t>
  </si>
  <si>
    <t>Kristin Moore</t>
  </si>
  <si>
    <t>S0814</t>
  </si>
  <si>
    <t>Linda Johnson</t>
  </si>
  <si>
    <t>S0813</t>
  </si>
  <si>
    <t>Ryan Williams</t>
  </si>
  <si>
    <t>S0812</t>
  </si>
  <si>
    <t>Amber Thompson</t>
  </si>
  <si>
    <t>S0811</t>
  </si>
  <si>
    <t>Sharon Walters MD</t>
  </si>
  <si>
    <t>S0810</t>
  </si>
  <si>
    <t>Amanda Smith</t>
  </si>
  <si>
    <t>S0809</t>
  </si>
  <si>
    <t>Erin Chapman</t>
  </si>
  <si>
    <t>S0808</t>
  </si>
  <si>
    <t>Mr. Shaun Silva</t>
  </si>
  <si>
    <t>S0807</t>
  </si>
  <si>
    <t>Michael Jackson</t>
  </si>
  <si>
    <t>S0806</t>
  </si>
  <si>
    <t>Calvin Cox</t>
  </si>
  <si>
    <t>S0805</t>
  </si>
  <si>
    <t>Steven Powers</t>
  </si>
  <si>
    <t>S0804</t>
  </si>
  <si>
    <t>Michael Parks</t>
  </si>
  <si>
    <t>S0803</t>
  </si>
  <si>
    <t>Jose Taylor</t>
  </si>
  <si>
    <t>S0802</t>
  </si>
  <si>
    <t>Sarah Cruz</t>
  </si>
  <si>
    <t>S0801</t>
  </si>
  <si>
    <t>Nicholas Sheppard</t>
  </si>
  <si>
    <t>S0800</t>
  </si>
  <si>
    <t>Charles Clark</t>
  </si>
  <si>
    <t>S0799</t>
  </si>
  <si>
    <t>Jason Fox</t>
  </si>
  <si>
    <t>S0798</t>
  </si>
  <si>
    <t>Roberta Clark</t>
  </si>
  <si>
    <t>S0797</t>
  </si>
  <si>
    <t>Timothy Rogers</t>
  </si>
  <si>
    <t>S0796</t>
  </si>
  <si>
    <t>Melissa Stewart</t>
  </si>
  <si>
    <t>S0795</t>
  </si>
  <si>
    <t>Lisa Marquez</t>
  </si>
  <si>
    <t>S0794</t>
  </si>
  <si>
    <t>Shane Norris</t>
  </si>
  <si>
    <t>S0793</t>
  </si>
  <si>
    <t>Scott Baldwin</t>
  </si>
  <si>
    <t>S0792</t>
  </si>
  <si>
    <t>Ellen Hughes</t>
  </si>
  <si>
    <t>S0791</t>
  </si>
  <si>
    <t>James Sexton</t>
  </si>
  <si>
    <t>S0790</t>
  </si>
  <si>
    <t>Jay Alvarez</t>
  </si>
  <si>
    <t>S0789</t>
  </si>
  <si>
    <t>Tammy Price</t>
  </si>
  <si>
    <t>S0788</t>
  </si>
  <si>
    <t>Cassandra Wheeler</t>
  </si>
  <si>
    <t>S0787</t>
  </si>
  <si>
    <t>David Jones</t>
  </si>
  <si>
    <t>S0786</t>
  </si>
  <si>
    <t>Nathan Gonzalez</t>
  </si>
  <si>
    <t>S0785</t>
  </si>
  <si>
    <t>Krista Bryan</t>
  </si>
  <si>
    <t>S0784</t>
  </si>
  <si>
    <t>Dr. Lisa Stevens</t>
  </si>
  <si>
    <t>S0783</t>
  </si>
  <si>
    <t>Sara Nelson</t>
  </si>
  <si>
    <t>S0782</t>
  </si>
  <si>
    <t>Heather Wilkerson</t>
  </si>
  <si>
    <t>S0781</t>
  </si>
  <si>
    <t>Jenny Wilson</t>
  </si>
  <si>
    <t>S0780</t>
  </si>
  <si>
    <t>Cassandra Jennings</t>
  </si>
  <si>
    <t>S0779</t>
  </si>
  <si>
    <t>Heidi Smith</t>
  </si>
  <si>
    <t>S0778</t>
  </si>
  <si>
    <t>Caroline Parker</t>
  </si>
  <si>
    <t>S0777</t>
  </si>
  <si>
    <t>Jesse Watkins</t>
  </si>
  <si>
    <t>S0776</t>
  </si>
  <si>
    <t>James Wright</t>
  </si>
  <si>
    <t>S0775</t>
  </si>
  <si>
    <t>Richard Brooks PhD</t>
  </si>
  <si>
    <t>S0774</t>
  </si>
  <si>
    <t>Jennifer Meza</t>
  </si>
  <si>
    <t>S0773</t>
  </si>
  <si>
    <t>Mark Thompson</t>
  </si>
  <si>
    <t>S0772</t>
  </si>
  <si>
    <t>Valerie Russell</t>
  </si>
  <si>
    <t>S0771</t>
  </si>
  <si>
    <t>Javier Allen</t>
  </si>
  <si>
    <t>S0770</t>
  </si>
  <si>
    <t>Troy Adams</t>
  </si>
  <si>
    <t>S0769</t>
  </si>
  <si>
    <t>Courtney Mcfarland</t>
  </si>
  <si>
    <t>S0768</t>
  </si>
  <si>
    <t>Cynthia Burke</t>
  </si>
  <si>
    <t>S0767</t>
  </si>
  <si>
    <t>Tiffany Atkins</t>
  </si>
  <si>
    <t>S0766</t>
  </si>
  <si>
    <t>Karen Sharp</t>
  </si>
  <si>
    <t>S0765</t>
  </si>
  <si>
    <t>Megan Watson</t>
  </si>
  <si>
    <t>S0764</t>
  </si>
  <si>
    <t>Anthony Johnson</t>
  </si>
  <si>
    <t>S0763</t>
  </si>
  <si>
    <t>Molly Martinez</t>
  </si>
  <si>
    <t>S0762</t>
  </si>
  <si>
    <t>Jason Jones</t>
  </si>
  <si>
    <t>S0761</t>
  </si>
  <si>
    <t>Kurt Harper</t>
  </si>
  <si>
    <t>S0760</t>
  </si>
  <si>
    <t>Joshua Johnson</t>
  </si>
  <si>
    <t>S0759</t>
  </si>
  <si>
    <t>Robin Butler</t>
  </si>
  <si>
    <t>S0758</t>
  </si>
  <si>
    <t>Mary Nelson</t>
  </si>
  <si>
    <t>S0757</t>
  </si>
  <si>
    <t>Stephanie Bernard</t>
  </si>
  <si>
    <t>S0756</t>
  </si>
  <si>
    <t>Carlos Williams</t>
  </si>
  <si>
    <t>S0755</t>
  </si>
  <si>
    <t>Brandon Jacobs</t>
  </si>
  <si>
    <t>S0754</t>
  </si>
  <si>
    <t>Sherry Perkins</t>
  </si>
  <si>
    <t>S0753</t>
  </si>
  <si>
    <t>Jordan Beltran</t>
  </si>
  <si>
    <t>S0752</t>
  </si>
  <si>
    <t>Tom Bailey</t>
  </si>
  <si>
    <t>S0751</t>
  </si>
  <si>
    <t>Rachel Sanchez</t>
  </si>
  <si>
    <t>S0750</t>
  </si>
  <si>
    <t>Christopher Parker</t>
  </si>
  <si>
    <t>S0749</t>
  </si>
  <si>
    <t>Debra Smith</t>
  </si>
  <si>
    <t>S0748</t>
  </si>
  <si>
    <t>Benjamin Gonzalez</t>
  </si>
  <si>
    <t>S0747</t>
  </si>
  <si>
    <t>Brian Mejia</t>
  </si>
  <si>
    <t>S0746</t>
  </si>
  <si>
    <t>Lisa Jenkins</t>
  </si>
  <si>
    <t>S0745</t>
  </si>
  <si>
    <t>Patricia Gross</t>
  </si>
  <si>
    <t>S0744</t>
  </si>
  <si>
    <t>Timothy Johnson</t>
  </si>
  <si>
    <t>S0743</t>
  </si>
  <si>
    <t>Taylor Flores</t>
  </si>
  <si>
    <t>S0742</t>
  </si>
  <si>
    <t>Wendy Brown</t>
  </si>
  <si>
    <t>S0741</t>
  </si>
  <si>
    <t>Shawn Davis</t>
  </si>
  <si>
    <t>S0740</t>
  </si>
  <si>
    <t>Jasmine Parker</t>
  </si>
  <si>
    <t>S0739</t>
  </si>
  <si>
    <t>Joshua Lutz</t>
  </si>
  <si>
    <t>S0738</t>
  </si>
  <si>
    <t>Haley Gallagher</t>
  </si>
  <si>
    <t>S0737</t>
  </si>
  <si>
    <t>Lori Coffey</t>
  </si>
  <si>
    <t>S0736</t>
  </si>
  <si>
    <t>Madison Miranda</t>
  </si>
  <si>
    <t>S0735</t>
  </si>
  <si>
    <t>Thomas Page</t>
  </si>
  <si>
    <t>S0734</t>
  </si>
  <si>
    <t>Daniel Glover</t>
  </si>
  <si>
    <t>S0733</t>
  </si>
  <si>
    <t>Patricia Jordan</t>
  </si>
  <si>
    <t>S0732</t>
  </si>
  <si>
    <t>Sarah Palmer</t>
  </si>
  <si>
    <t>S0731</t>
  </si>
  <si>
    <t>Richard Johnson</t>
  </si>
  <si>
    <t>S0730</t>
  </si>
  <si>
    <t>Thomas Howell</t>
  </si>
  <si>
    <t>S0729</t>
  </si>
  <si>
    <t>Frank Camacho</t>
  </si>
  <si>
    <t>S0728</t>
  </si>
  <si>
    <t>Latasha Moore</t>
  </si>
  <si>
    <t>S0727</t>
  </si>
  <si>
    <t>Stacie Miller</t>
  </si>
  <si>
    <t>S0726</t>
  </si>
  <si>
    <t>Dr. Christopher Holmes II</t>
  </si>
  <si>
    <t>S0725</t>
  </si>
  <si>
    <t>Ashley Flores</t>
  </si>
  <si>
    <t>S0724</t>
  </si>
  <si>
    <t>Cheryl Torres</t>
  </si>
  <si>
    <t>S0723</t>
  </si>
  <si>
    <t>John Haynes</t>
  </si>
  <si>
    <t>S0722</t>
  </si>
  <si>
    <t>Gabrielle King</t>
  </si>
  <si>
    <t>S0721</t>
  </si>
  <si>
    <t>Melissa Murray</t>
  </si>
  <si>
    <t>S0720</t>
  </si>
  <si>
    <t>Jeremy Smith</t>
  </si>
  <si>
    <t>S0719</t>
  </si>
  <si>
    <t>Lisa Mitchell</t>
  </si>
  <si>
    <t>S0718</t>
  </si>
  <si>
    <t>Richard Taylor</t>
  </si>
  <si>
    <t>S0717</t>
  </si>
  <si>
    <t>Jason Arnold</t>
  </si>
  <si>
    <t>S0716</t>
  </si>
  <si>
    <t>Benjamin Padilla</t>
  </si>
  <si>
    <t>S0715</t>
  </si>
  <si>
    <t>Scott Moore</t>
  </si>
  <si>
    <t>S0714</t>
  </si>
  <si>
    <t>Melissa Tyler</t>
  </si>
  <si>
    <t>S0713</t>
  </si>
  <si>
    <t>Joanne Mitchell</t>
  </si>
  <si>
    <t>S0712</t>
  </si>
  <si>
    <t>Kristina Murphy</t>
  </si>
  <si>
    <t>S0711</t>
  </si>
  <si>
    <t>Melinda Garcia</t>
  </si>
  <si>
    <t>S0710</t>
  </si>
  <si>
    <t>Gary Smith</t>
  </si>
  <si>
    <t>S0709</t>
  </si>
  <si>
    <t>Michelle Rogers</t>
  </si>
  <si>
    <t>S0708</t>
  </si>
  <si>
    <t>Brian Johnson</t>
  </si>
  <si>
    <t>S0707</t>
  </si>
  <si>
    <t>Teresa Nelson</t>
  </si>
  <si>
    <t>S0706</t>
  </si>
  <si>
    <t>Katherine Mays</t>
  </si>
  <si>
    <t>S0705</t>
  </si>
  <si>
    <t>Jamie Hudson</t>
  </si>
  <si>
    <t>S0704</t>
  </si>
  <si>
    <t>Vanessa White</t>
  </si>
  <si>
    <t>S0703</t>
  </si>
  <si>
    <t>Chad Williams</t>
  </si>
  <si>
    <t>S0702</t>
  </si>
  <si>
    <t>Michael Howard</t>
  </si>
  <si>
    <t>S0701</t>
  </si>
  <si>
    <t>Michelle Bennett DVM</t>
  </si>
  <si>
    <t>S0700</t>
  </si>
  <si>
    <t>Vincent Martin</t>
  </si>
  <si>
    <t>S0699</t>
  </si>
  <si>
    <t>Gerald Stanley</t>
  </si>
  <si>
    <t>S0698</t>
  </si>
  <si>
    <t>Christine Collins</t>
  </si>
  <si>
    <t>S0697</t>
  </si>
  <si>
    <t>David Griffith</t>
  </si>
  <si>
    <t>S0696</t>
  </si>
  <si>
    <t>Alan Torres</t>
  </si>
  <si>
    <t>S0695</t>
  </si>
  <si>
    <t>Jonathan Harper</t>
  </si>
  <si>
    <t>S0694</t>
  </si>
  <si>
    <t>Kathryn Brady</t>
  </si>
  <si>
    <t>S0693</t>
  </si>
  <si>
    <t>Desiree White</t>
  </si>
  <si>
    <t>S0692</t>
  </si>
  <si>
    <t>Vanessa Smith</t>
  </si>
  <si>
    <t>S0691</t>
  </si>
  <si>
    <t>Christina Sanchez</t>
  </si>
  <si>
    <t>S0690</t>
  </si>
  <si>
    <t>Cory Myers</t>
  </si>
  <si>
    <t>S0689</t>
  </si>
  <si>
    <t>Robert Webster</t>
  </si>
  <si>
    <t>S0688</t>
  </si>
  <si>
    <t>Megan Vargas</t>
  </si>
  <si>
    <t>S0687</t>
  </si>
  <si>
    <t>Stacey Gonzalez</t>
  </si>
  <si>
    <t>S0686</t>
  </si>
  <si>
    <t>Mark Scott</t>
  </si>
  <si>
    <t>S0685</t>
  </si>
  <si>
    <t>Mrs. Melissa Scott</t>
  </si>
  <si>
    <t>S0684</t>
  </si>
  <si>
    <t>Jeremiah Mcmahon</t>
  </si>
  <si>
    <t>S0683</t>
  </si>
  <si>
    <t>Traci Bailey</t>
  </si>
  <si>
    <t>S0682</t>
  </si>
  <si>
    <t>Jill Oconnor</t>
  </si>
  <si>
    <t>S0681</t>
  </si>
  <si>
    <t>Susan Rogers</t>
  </si>
  <si>
    <t>S0680</t>
  </si>
  <si>
    <t>Jose Fuller</t>
  </si>
  <si>
    <t>S0679</t>
  </si>
  <si>
    <t>Michael King</t>
  </si>
  <si>
    <t>S0678</t>
  </si>
  <si>
    <t>Jeffrey Mcmahon</t>
  </si>
  <si>
    <t>S0677</t>
  </si>
  <si>
    <t>Kyle Jenkins</t>
  </si>
  <si>
    <t>S0676</t>
  </si>
  <si>
    <t>Amy Wilson</t>
  </si>
  <si>
    <t>S0675</t>
  </si>
  <si>
    <t>Mr. Jimmy Anderson</t>
  </si>
  <si>
    <t>S0674</t>
  </si>
  <si>
    <t>Patrick Davidson Jr.</t>
  </si>
  <si>
    <t>S0673</t>
  </si>
  <si>
    <t>Mark Jacobs</t>
  </si>
  <si>
    <t>S0672</t>
  </si>
  <si>
    <t>Perry Richardson</t>
  </si>
  <si>
    <t>S0671</t>
  </si>
  <si>
    <t>Samuel Gonzalez</t>
  </si>
  <si>
    <t>S0670</t>
  </si>
  <si>
    <t>Brian Russell</t>
  </si>
  <si>
    <t>S0669</t>
  </si>
  <si>
    <t>Benjamin Greene</t>
  </si>
  <si>
    <t>S0668</t>
  </si>
  <si>
    <t>Matthew Humphrey</t>
  </si>
  <si>
    <t>S0667</t>
  </si>
  <si>
    <t>Timothy Guerrero</t>
  </si>
  <si>
    <t>S0666</t>
  </si>
  <si>
    <t>Kevin Freeman</t>
  </si>
  <si>
    <t>S0665</t>
  </si>
  <si>
    <t>Tammy Allen</t>
  </si>
  <si>
    <t>S0664</t>
  </si>
  <si>
    <t>David Jordan</t>
  </si>
  <si>
    <t>S0663</t>
  </si>
  <si>
    <t>Michael Weeks</t>
  </si>
  <si>
    <t>S0662</t>
  </si>
  <si>
    <t>Jason Austin</t>
  </si>
  <si>
    <t>S0661</t>
  </si>
  <si>
    <t>Elizabeth Sullivan</t>
  </si>
  <si>
    <t>S0660</t>
  </si>
  <si>
    <t>Martha Mason</t>
  </si>
  <si>
    <t>S0659</t>
  </si>
  <si>
    <t>Nicole Brown</t>
  </si>
  <si>
    <t>S0658</t>
  </si>
  <si>
    <t>Devin Lopez</t>
  </si>
  <si>
    <t>S0657</t>
  </si>
  <si>
    <t>Cody Love</t>
  </si>
  <si>
    <t>S0656</t>
  </si>
  <si>
    <t>Jared Castro</t>
  </si>
  <si>
    <t>S0655</t>
  </si>
  <si>
    <t>Colin Garcia</t>
  </si>
  <si>
    <t>S0654</t>
  </si>
  <si>
    <t>Billy Rivera</t>
  </si>
  <si>
    <t>S0653</t>
  </si>
  <si>
    <t>Philip King</t>
  </si>
  <si>
    <t>S0652</t>
  </si>
  <si>
    <t>Walter Rowe</t>
  </si>
  <si>
    <t>S0651</t>
  </si>
  <si>
    <t>Noah Williamson</t>
  </si>
  <si>
    <t>S0650</t>
  </si>
  <si>
    <t>Jennifer Mayo</t>
  </si>
  <si>
    <t>S0649</t>
  </si>
  <si>
    <t>Taylor Hunt</t>
  </si>
  <si>
    <t>S0648</t>
  </si>
  <si>
    <t>Sandra Solis</t>
  </si>
  <si>
    <t>S0647</t>
  </si>
  <si>
    <t>Jose Pitts</t>
  </si>
  <si>
    <t>S0646</t>
  </si>
  <si>
    <t>Karen Wilson</t>
  </si>
  <si>
    <t>S0645</t>
  </si>
  <si>
    <t>Carrie Alexander</t>
  </si>
  <si>
    <t>S0644</t>
  </si>
  <si>
    <t>Anthony Hall</t>
  </si>
  <si>
    <t>S0643</t>
  </si>
  <si>
    <t>Robert Hooper</t>
  </si>
  <si>
    <t>S0642</t>
  </si>
  <si>
    <t>Brian Nelson</t>
  </si>
  <si>
    <t>S0641</t>
  </si>
  <si>
    <t>Stephanie Foster</t>
  </si>
  <si>
    <t>S0640</t>
  </si>
  <si>
    <t>Robert Arnold</t>
  </si>
  <si>
    <t>S0639</t>
  </si>
  <si>
    <t>Leslie Melton</t>
  </si>
  <si>
    <t>S0638</t>
  </si>
  <si>
    <t>Claudia Snyder</t>
  </si>
  <si>
    <t>S0637</t>
  </si>
  <si>
    <t>Kevin Morton</t>
  </si>
  <si>
    <t>S0636</t>
  </si>
  <si>
    <t>Maria Miller</t>
  </si>
  <si>
    <t>S0635</t>
  </si>
  <si>
    <t>Katie Farrell</t>
  </si>
  <si>
    <t>S0634</t>
  </si>
  <si>
    <t>Joshua Lewis</t>
  </si>
  <si>
    <t>S0633</t>
  </si>
  <si>
    <t>James Huber</t>
  </si>
  <si>
    <t>S0632</t>
  </si>
  <si>
    <t>Michael Davis</t>
  </si>
  <si>
    <t>S0631</t>
  </si>
  <si>
    <t>Janet Dickerson</t>
  </si>
  <si>
    <t>S0630</t>
  </si>
  <si>
    <t>Lee Woods</t>
  </si>
  <si>
    <t>S0629</t>
  </si>
  <si>
    <t>Christopher Ellis</t>
  </si>
  <si>
    <t>S0628</t>
  </si>
  <si>
    <t>David Sanchez</t>
  </si>
  <si>
    <t>S0627</t>
  </si>
  <si>
    <t>Henry Cook</t>
  </si>
  <si>
    <t>S0626</t>
  </si>
  <si>
    <t>Erin Owens</t>
  </si>
  <si>
    <t>S0625</t>
  </si>
  <si>
    <t>Jennifer Rodriguez</t>
  </si>
  <si>
    <t>S0624</t>
  </si>
  <si>
    <t>Rachel Wright</t>
  </si>
  <si>
    <t>S0623</t>
  </si>
  <si>
    <t>Joseph Ortiz</t>
  </si>
  <si>
    <t>S0622</t>
  </si>
  <si>
    <t>Brandon Young</t>
  </si>
  <si>
    <t>S0621</t>
  </si>
  <si>
    <t>Jaime Kim</t>
  </si>
  <si>
    <t>S0620</t>
  </si>
  <si>
    <t>Alexander Ortiz</t>
  </si>
  <si>
    <t>S0619</t>
  </si>
  <si>
    <t>Mike Stevens</t>
  </si>
  <si>
    <t>S0618</t>
  </si>
  <si>
    <t>James Compton</t>
  </si>
  <si>
    <t>S0617</t>
  </si>
  <si>
    <t>Joseph Kennedy</t>
  </si>
  <si>
    <t>S0616</t>
  </si>
  <si>
    <t>Susan Delgado</t>
  </si>
  <si>
    <t>S0615</t>
  </si>
  <si>
    <t>Daniel Graham</t>
  </si>
  <si>
    <t>S0614</t>
  </si>
  <si>
    <t>Christopher Kelly</t>
  </si>
  <si>
    <t>S0613</t>
  </si>
  <si>
    <t>Michelle James</t>
  </si>
  <si>
    <t>S0612</t>
  </si>
  <si>
    <t>Barbara Torres</t>
  </si>
  <si>
    <t>S0611</t>
  </si>
  <si>
    <t>Courtney Aguirre</t>
  </si>
  <si>
    <t>S0610</t>
  </si>
  <si>
    <t>Thomas Williams</t>
  </si>
  <si>
    <t>S0609</t>
  </si>
  <si>
    <t>Miranda Fletcher</t>
  </si>
  <si>
    <t>S0608</t>
  </si>
  <si>
    <t>Matthew Williams</t>
  </si>
  <si>
    <t>S0607</t>
  </si>
  <si>
    <t>Darin Powell</t>
  </si>
  <si>
    <t>S0606</t>
  </si>
  <si>
    <t>Alexis Goodman</t>
  </si>
  <si>
    <t>S0605</t>
  </si>
  <si>
    <t>Blake York</t>
  </si>
  <si>
    <t>S0604</t>
  </si>
  <si>
    <t>Ashley Miller</t>
  </si>
  <si>
    <t>S0603</t>
  </si>
  <si>
    <t>Adrienne Chavez</t>
  </si>
  <si>
    <t>S0602</t>
  </si>
  <si>
    <t>Joanna Wiggins</t>
  </si>
  <si>
    <t>S0601</t>
  </si>
  <si>
    <t>Rhonda Cline</t>
  </si>
  <si>
    <t>S0600</t>
  </si>
  <si>
    <t>David Mitchell</t>
  </si>
  <si>
    <t>S0599</t>
  </si>
  <si>
    <t>Taylor Hill</t>
  </si>
  <si>
    <t>S0598</t>
  </si>
  <si>
    <t>Benjamin Lewis</t>
  </si>
  <si>
    <t>S0597</t>
  </si>
  <si>
    <t>Tammy Murphy</t>
  </si>
  <si>
    <t>S0596</t>
  </si>
  <si>
    <t>James Navarro</t>
  </si>
  <si>
    <t>S0595</t>
  </si>
  <si>
    <t>Heather Trevino</t>
  </si>
  <si>
    <t>S0594</t>
  </si>
  <si>
    <t>Vanessa Hanson</t>
  </si>
  <si>
    <t>S0593</t>
  </si>
  <si>
    <t>Katie Dalton</t>
  </si>
  <si>
    <t>S0592</t>
  </si>
  <si>
    <t>S0591</t>
  </si>
  <si>
    <t>Thomas Stout</t>
  </si>
  <si>
    <t>S0590</t>
  </si>
  <si>
    <t>Anna Weaver</t>
  </si>
  <si>
    <t>S0589</t>
  </si>
  <si>
    <t>Bethany Carroll</t>
  </si>
  <si>
    <t>S0588</t>
  </si>
  <si>
    <t>Jonathan Miller</t>
  </si>
  <si>
    <t>S0587</t>
  </si>
  <si>
    <t>Suzanne Johnson</t>
  </si>
  <si>
    <t>S0586</t>
  </si>
  <si>
    <t>George Kelly</t>
  </si>
  <si>
    <t>S0585</t>
  </si>
  <si>
    <t>Alex Hernandez</t>
  </si>
  <si>
    <t>S0584</t>
  </si>
  <si>
    <t>Christopher Yates</t>
  </si>
  <si>
    <t>S0583</t>
  </si>
  <si>
    <t>Cameron Marshall</t>
  </si>
  <si>
    <t>S0582</t>
  </si>
  <si>
    <t>Clayton Bird</t>
  </si>
  <si>
    <t>S0581</t>
  </si>
  <si>
    <t>Gary Gonzalez</t>
  </si>
  <si>
    <t>S0580</t>
  </si>
  <si>
    <t>Susan Rodriguez</t>
  </si>
  <si>
    <t>S0579</t>
  </si>
  <si>
    <t>Stephen Phillips</t>
  </si>
  <si>
    <t>S0578</t>
  </si>
  <si>
    <t>Lauren Nguyen</t>
  </si>
  <si>
    <t>S0577</t>
  </si>
  <si>
    <t>Jared Williams</t>
  </si>
  <si>
    <t>S0576</t>
  </si>
  <si>
    <t>Matthew Thomas</t>
  </si>
  <si>
    <t>S0575</t>
  </si>
  <si>
    <t>Stephen Stone</t>
  </si>
  <si>
    <t>S0574</t>
  </si>
  <si>
    <t>Michael Baker</t>
  </si>
  <si>
    <t>S0573</t>
  </si>
  <si>
    <t>Christina Silva</t>
  </si>
  <si>
    <t>S0572</t>
  </si>
  <si>
    <t>Sarah Osborn</t>
  </si>
  <si>
    <t>S0571</t>
  </si>
  <si>
    <t>Kathryn Manning</t>
  </si>
  <si>
    <t>S0570</t>
  </si>
  <si>
    <t>Michael Nelson</t>
  </si>
  <si>
    <t>S0569</t>
  </si>
  <si>
    <t>Kelly Rogers</t>
  </si>
  <si>
    <t>S0568</t>
  </si>
  <si>
    <t>Anna Williams</t>
  </si>
  <si>
    <t>S0567</t>
  </si>
  <si>
    <t>Meagan Waller</t>
  </si>
  <si>
    <t>S0566</t>
  </si>
  <si>
    <t>Christopher Cantrell</t>
  </si>
  <si>
    <t>S0565</t>
  </si>
  <si>
    <t>Ashley Osborne</t>
  </si>
  <si>
    <t>S0564</t>
  </si>
  <si>
    <t>Jamie Parsons</t>
  </si>
  <si>
    <t>S0563</t>
  </si>
  <si>
    <t>Phillip Wilson</t>
  </si>
  <si>
    <t>S0562</t>
  </si>
  <si>
    <t>Steven Mcguire</t>
  </si>
  <si>
    <t>S0561</t>
  </si>
  <si>
    <t>Jason Lopez</t>
  </si>
  <si>
    <t>S0560</t>
  </si>
  <si>
    <t>Gary Johnson</t>
  </si>
  <si>
    <t>S0559</t>
  </si>
  <si>
    <t>Jonathan Lopez</t>
  </si>
  <si>
    <t>S0558</t>
  </si>
  <si>
    <t>Mark Miles</t>
  </si>
  <si>
    <t>S0557</t>
  </si>
  <si>
    <t>Brandon Green</t>
  </si>
  <si>
    <t>S0556</t>
  </si>
  <si>
    <t>Laura Ross</t>
  </si>
  <si>
    <t>S0555</t>
  </si>
  <si>
    <t>Tyler Meyers</t>
  </si>
  <si>
    <t>S0554</t>
  </si>
  <si>
    <t>Laura Hardy</t>
  </si>
  <si>
    <t>S0553</t>
  </si>
  <si>
    <t>Andrea Pearson DVM</t>
  </si>
  <si>
    <t>S0552</t>
  </si>
  <si>
    <t>Kenneth Hughes</t>
  </si>
  <si>
    <t>S0551</t>
  </si>
  <si>
    <t>Timothy Turner</t>
  </si>
  <si>
    <t>S0550</t>
  </si>
  <si>
    <t>Brooke Smith</t>
  </si>
  <si>
    <t>S0549</t>
  </si>
  <si>
    <t>Michael Oneal</t>
  </si>
  <si>
    <t>S0548</t>
  </si>
  <si>
    <t>Christopher Horn</t>
  </si>
  <si>
    <t>S0547</t>
  </si>
  <si>
    <t>Thomas Wilson</t>
  </si>
  <si>
    <t>S0546</t>
  </si>
  <si>
    <t>Rebecca Mcdaniel</t>
  </si>
  <si>
    <t>S0545</t>
  </si>
  <si>
    <t>Maria Morgan</t>
  </si>
  <si>
    <t>S0544</t>
  </si>
  <si>
    <t>Brian Hall</t>
  </si>
  <si>
    <t>S0543</t>
  </si>
  <si>
    <t>Gabrielle Smith</t>
  </si>
  <si>
    <t>S0542</t>
  </si>
  <si>
    <t>Monica Hull</t>
  </si>
  <si>
    <t>S0541</t>
  </si>
  <si>
    <t>Jordan Stanley</t>
  </si>
  <si>
    <t>S0540</t>
  </si>
  <si>
    <t>Amy Thomas</t>
  </si>
  <si>
    <t>S0539</t>
  </si>
  <si>
    <t>Colleen Smith</t>
  </si>
  <si>
    <t>S0538</t>
  </si>
  <si>
    <t>Stacy Middleton</t>
  </si>
  <si>
    <t>S0537</t>
  </si>
  <si>
    <t>Carly Dodson</t>
  </si>
  <si>
    <t>S0536</t>
  </si>
  <si>
    <t>Kelly Camacho</t>
  </si>
  <si>
    <t>S0535</t>
  </si>
  <si>
    <t>Daniel Johnson</t>
  </si>
  <si>
    <t>S0534</t>
  </si>
  <si>
    <t>Kimberly Cameron MD</t>
  </si>
  <si>
    <t>S0533</t>
  </si>
  <si>
    <t>Angela Harris</t>
  </si>
  <si>
    <t>S0532</t>
  </si>
  <si>
    <t>Luke Cross</t>
  </si>
  <si>
    <t>S0531</t>
  </si>
  <si>
    <t>Yvonne Diaz</t>
  </si>
  <si>
    <t>S0530</t>
  </si>
  <si>
    <t>Katherine Johnson</t>
  </si>
  <si>
    <t>S0529</t>
  </si>
  <si>
    <t>Lucas Gray</t>
  </si>
  <si>
    <t>S0528</t>
  </si>
  <si>
    <t>Nathaniel Holmes</t>
  </si>
  <si>
    <t>S0527</t>
  </si>
  <si>
    <t>Brittany Bishop</t>
  </si>
  <si>
    <t>S0526</t>
  </si>
  <si>
    <t>S0525</t>
  </si>
  <si>
    <t>Michael Gilbert DDS</t>
  </si>
  <si>
    <t>S0524</t>
  </si>
  <si>
    <t>Kara Price</t>
  </si>
  <si>
    <t>S0523</t>
  </si>
  <si>
    <t>Michael Torres</t>
  </si>
  <si>
    <t>S0522</t>
  </si>
  <si>
    <t>Maurice Acosta</t>
  </si>
  <si>
    <t>S0521</t>
  </si>
  <si>
    <t>Eric Brown</t>
  </si>
  <si>
    <t>S0520</t>
  </si>
  <si>
    <t>Joshua Hamilton</t>
  </si>
  <si>
    <t>S0519</t>
  </si>
  <si>
    <t>Mia Armstrong</t>
  </si>
  <si>
    <t>S0518</t>
  </si>
  <si>
    <t>Timothy Castro</t>
  </si>
  <si>
    <t>S0517</t>
  </si>
  <si>
    <t>Stephen Sanders</t>
  </si>
  <si>
    <t>S0516</t>
  </si>
  <si>
    <t>Sharon Walker</t>
  </si>
  <si>
    <t>S0515</t>
  </si>
  <si>
    <t>Jordan Hardy</t>
  </si>
  <si>
    <t>S0514</t>
  </si>
  <si>
    <t>Monica Whitney</t>
  </si>
  <si>
    <t>S0513</t>
  </si>
  <si>
    <t>Miss Felicia Roberson</t>
  </si>
  <si>
    <t>S0512</t>
  </si>
  <si>
    <t>Trevor Johnson</t>
  </si>
  <si>
    <t>S0511</t>
  </si>
  <si>
    <t>Raymond French</t>
  </si>
  <si>
    <t>S0510</t>
  </si>
  <si>
    <t>Victor Dickerson</t>
  </si>
  <si>
    <t>S0509</t>
  </si>
  <si>
    <t>William Valdez</t>
  </si>
  <si>
    <t>S0508</t>
  </si>
  <si>
    <t>Nicholas Valentine</t>
  </si>
  <si>
    <t>S0507</t>
  </si>
  <si>
    <t>Lori Olsen</t>
  </si>
  <si>
    <t>S0506</t>
  </si>
  <si>
    <t>Travis Melton</t>
  </si>
  <si>
    <t>S0505</t>
  </si>
  <si>
    <t>Benjamin Ware</t>
  </si>
  <si>
    <t>S0504</t>
  </si>
  <si>
    <t>Marie Macias</t>
  </si>
  <si>
    <t>S0503</t>
  </si>
  <si>
    <t>Matthew Ramos</t>
  </si>
  <si>
    <t>S0502</t>
  </si>
  <si>
    <t>Teresa Ford</t>
  </si>
  <si>
    <t>S0501</t>
  </si>
  <si>
    <t>Donald Newton</t>
  </si>
  <si>
    <t>S0500</t>
  </si>
  <si>
    <t>Nicholas Flores</t>
  </si>
  <si>
    <t>S0499</t>
  </si>
  <si>
    <t>Melissa Chung</t>
  </si>
  <si>
    <t>S0498</t>
  </si>
  <si>
    <t>Larry Deleon DDS</t>
  </si>
  <si>
    <t>S0497</t>
  </si>
  <si>
    <t>Angel Thompson</t>
  </si>
  <si>
    <t>S0496</t>
  </si>
  <si>
    <t>Howard Wilson</t>
  </si>
  <si>
    <t>S0495</t>
  </si>
  <si>
    <t>Stacy Carrillo</t>
  </si>
  <si>
    <t>S0494</t>
  </si>
  <si>
    <t>Travis Burke</t>
  </si>
  <si>
    <t>S0493</t>
  </si>
  <si>
    <t>Diana George</t>
  </si>
  <si>
    <t>S0492</t>
  </si>
  <si>
    <t>Kristine Garrett</t>
  </si>
  <si>
    <t>S0491</t>
  </si>
  <si>
    <t>Nancy Ayala</t>
  </si>
  <si>
    <t>S0490</t>
  </si>
  <si>
    <t>David Joyce</t>
  </si>
  <si>
    <t>S0489</t>
  </si>
  <si>
    <t>Travis Miller</t>
  </si>
  <si>
    <t>S0488</t>
  </si>
  <si>
    <t>Allison Ballard</t>
  </si>
  <si>
    <t>S0487</t>
  </si>
  <si>
    <t>Amanda Wade</t>
  </si>
  <si>
    <t>S0486</t>
  </si>
  <si>
    <t>Noah Armstrong</t>
  </si>
  <si>
    <t>S0485</t>
  </si>
  <si>
    <t>Daniel Price</t>
  </si>
  <si>
    <t>S0484</t>
  </si>
  <si>
    <t>Eric Douglas</t>
  </si>
  <si>
    <t>S0483</t>
  </si>
  <si>
    <t>Martin James</t>
  </si>
  <si>
    <t>S0482</t>
  </si>
  <si>
    <t>John Jones</t>
  </si>
  <si>
    <t>S0481</t>
  </si>
  <si>
    <t>Kimberly Molina</t>
  </si>
  <si>
    <t>S0480</t>
  </si>
  <si>
    <t>Kevin Hopkins</t>
  </si>
  <si>
    <t>S0479</t>
  </si>
  <si>
    <t>Kenneth Cantrell</t>
  </si>
  <si>
    <t>S0478</t>
  </si>
  <si>
    <t>Susan Spence</t>
  </si>
  <si>
    <t>S0477</t>
  </si>
  <si>
    <t>Ashley Ryan</t>
  </si>
  <si>
    <t>S0476</t>
  </si>
  <si>
    <t>Linda Brown</t>
  </si>
  <si>
    <t>S0475</t>
  </si>
  <si>
    <t>Michael Jones</t>
  </si>
  <si>
    <t>S0474</t>
  </si>
  <si>
    <t>Mark Cook</t>
  </si>
  <si>
    <t>S0473</t>
  </si>
  <si>
    <t>Wesley Compton</t>
  </si>
  <si>
    <t>S0472</t>
  </si>
  <si>
    <t>Kimberly Fox</t>
  </si>
  <si>
    <t>S0471</t>
  </si>
  <si>
    <t>Steve Spence</t>
  </si>
  <si>
    <t>S0470</t>
  </si>
  <si>
    <t>Dakota Gallegos</t>
  </si>
  <si>
    <t>S0469</t>
  </si>
  <si>
    <t>Michael Craig</t>
  </si>
  <si>
    <t>S0468</t>
  </si>
  <si>
    <t>Mr. Warren Lowe</t>
  </si>
  <si>
    <t>S0467</t>
  </si>
  <si>
    <t>Richard Jacobs</t>
  </si>
  <si>
    <t>S0466</t>
  </si>
  <si>
    <t>Patricia Lewis</t>
  </si>
  <si>
    <t>S0465</t>
  </si>
  <si>
    <t>Jennifer Gonzales</t>
  </si>
  <si>
    <t>S0464</t>
  </si>
  <si>
    <t>Paul Gray</t>
  </si>
  <si>
    <t>S0463</t>
  </si>
  <si>
    <t>Andrew Duncan</t>
  </si>
  <si>
    <t>S0462</t>
  </si>
  <si>
    <t>Samantha Lee</t>
  </si>
  <si>
    <t>S0461</t>
  </si>
  <si>
    <t>Madeline Harrington</t>
  </si>
  <si>
    <t>S0460</t>
  </si>
  <si>
    <t>Julie Nichols</t>
  </si>
  <si>
    <t>S0459</t>
  </si>
  <si>
    <t>Aaron Bradley</t>
  </si>
  <si>
    <t>S0458</t>
  </si>
  <si>
    <t>Marco Moore</t>
  </si>
  <si>
    <t>S0457</t>
  </si>
  <si>
    <t>Brianna Colon</t>
  </si>
  <si>
    <t>S0456</t>
  </si>
  <si>
    <t>Donald Garcia</t>
  </si>
  <si>
    <t>S0455</t>
  </si>
  <si>
    <t>Donald Small</t>
  </si>
  <si>
    <t>S0454</t>
  </si>
  <si>
    <t>Kimberly Martinez</t>
  </si>
  <si>
    <t>S0453</t>
  </si>
  <si>
    <t>Amanda Cooper</t>
  </si>
  <si>
    <t>S0452</t>
  </si>
  <si>
    <t>Thomas Perez</t>
  </si>
  <si>
    <t>S0451</t>
  </si>
  <si>
    <t>Michelle Coleman</t>
  </si>
  <si>
    <t>S0450</t>
  </si>
  <si>
    <t>Ethan King</t>
  </si>
  <si>
    <t>S0449</t>
  </si>
  <si>
    <t>Frances Jacobs DVM</t>
  </si>
  <si>
    <t>S0448</t>
  </si>
  <si>
    <t>Debra Allen</t>
  </si>
  <si>
    <t>S0447</t>
  </si>
  <si>
    <t>Christina Haynes</t>
  </si>
  <si>
    <t>S0446</t>
  </si>
  <si>
    <t>Mr. Vincent Bolton</t>
  </si>
  <si>
    <t>S0445</t>
  </si>
  <si>
    <t>Amy Ray</t>
  </si>
  <si>
    <t>S0444</t>
  </si>
  <si>
    <t>Stacy Harper</t>
  </si>
  <si>
    <t>S0443</t>
  </si>
  <si>
    <t>Nicolas Moore</t>
  </si>
  <si>
    <t>S0442</t>
  </si>
  <si>
    <t>Katherine Atkinson</t>
  </si>
  <si>
    <t>S0441</t>
  </si>
  <si>
    <t>Peter Ferguson</t>
  </si>
  <si>
    <t>S0440</t>
  </si>
  <si>
    <t>John Kline</t>
  </si>
  <si>
    <t>S0439</t>
  </si>
  <si>
    <t>Jennifer Jackson</t>
  </si>
  <si>
    <t>S0438</t>
  </si>
  <si>
    <t>Joseph Johnson</t>
  </si>
  <si>
    <t>S0437</t>
  </si>
  <si>
    <t>Sheila Sharp</t>
  </si>
  <si>
    <t>S0436</t>
  </si>
  <si>
    <t>Samantha Miller</t>
  </si>
  <si>
    <t>S0435</t>
  </si>
  <si>
    <t>Wendy Johnson MD</t>
  </si>
  <si>
    <t>S0434</t>
  </si>
  <si>
    <t>Angela Walls</t>
  </si>
  <si>
    <t>S0433</t>
  </si>
  <si>
    <t>Cassidy Dunlap</t>
  </si>
  <si>
    <t>S0432</t>
  </si>
  <si>
    <t>Douglas Collins</t>
  </si>
  <si>
    <t>S0431</t>
  </si>
  <si>
    <t>Bobby Owen</t>
  </si>
  <si>
    <t>S0430</t>
  </si>
  <si>
    <t>Edward Bates</t>
  </si>
  <si>
    <t>S0429</t>
  </si>
  <si>
    <t>Charles Garcia</t>
  </si>
  <si>
    <t>S0428</t>
  </si>
  <si>
    <t>Beth White</t>
  </si>
  <si>
    <t>S0427</t>
  </si>
  <si>
    <t>William Farmer</t>
  </si>
  <si>
    <t>S0426</t>
  </si>
  <si>
    <t>Maria Rios</t>
  </si>
  <si>
    <t>S0425</t>
  </si>
  <si>
    <t>Andre Johnson</t>
  </si>
  <si>
    <t>S0424</t>
  </si>
  <si>
    <t>Kristy Martin</t>
  </si>
  <si>
    <t>S0423</t>
  </si>
  <si>
    <t>Jennifer Sexton</t>
  </si>
  <si>
    <t>S0422</t>
  </si>
  <si>
    <t>Karl Pugh</t>
  </si>
  <si>
    <t>S0421</t>
  </si>
  <si>
    <t>Raymond Nguyen</t>
  </si>
  <si>
    <t>S0420</t>
  </si>
  <si>
    <t>Stacey Beltran</t>
  </si>
  <si>
    <t>S0419</t>
  </si>
  <si>
    <t>Jason Webb</t>
  </si>
  <si>
    <t>S0418</t>
  </si>
  <si>
    <t>Joshua Thompson</t>
  </si>
  <si>
    <t>S0417</t>
  </si>
  <si>
    <t>Shawna Bender</t>
  </si>
  <si>
    <t>S0416</t>
  </si>
  <si>
    <t>Daniel Gould</t>
  </si>
  <si>
    <t>S0415</t>
  </si>
  <si>
    <t>Shane Hernandez</t>
  </si>
  <si>
    <t>S0414</t>
  </si>
  <si>
    <t>Rebecca Huynh</t>
  </si>
  <si>
    <t>S0413</t>
  </si>
  <si>
    <t>Mary Murphy</t>
  </si>
  <si>
    <t>S0412</t>
  </si>
  <si>
    <t>Alisha Weber</t>
  </si>
  <si>
    <t>S0411</t>
  </si>
  <si>
    <t>Brenda Lawrence</t>
  </si>
  <si>
    <t>S0410</t>
  </si>
  <si>
    <t>Kristen Green</t>
  </si>
  <si>
    <t>S0409</t>
  </si>
  <si>
    <t>Jennifer Evans</t>
  </si>
  <si>
    <t>S0408</t>
  </si>
  <si>
    <t>Kelly Tanner</t>
  </si>
  <si>
    <t>S0407</t>
  </si>
  <si>
    <t>Carl Navarro</t>
  </si>
  <si>
    <t>S0406</t>
  </si>
  <si>
    <t>Willie Chase</t>
  </si>
  <si>
    <t>S0405</t>
  </si>
  <si>
    <t>Leslie Gomez</t>
  </si>
  <si>
    <t>S0404</t>
  </si>
  <si>
    <t>Carlos Ryan</t>
  </si>
  <si>
    <t>S0403</t>
  </si>
  <si>
    <t>Megan Dorsey</t>
  </si>
  <si>
    <t>S0402</t>
  </si>
  <si>
    <t>Peter Vaughn</t>
  </si>
  <si>
    <t>S0401</t>
  </si>
  <si>
    <t>Cindy Shea</t>
  </si>
  <si>
    <t>S0400</t>
  </si>
  <si>
    <t>Louis Cox</t>
  </si>
  <si>
    <t>S0399</t>
  </si>
  <si>
    <t>Shannon Randolph</t>
  </si>
  <si>
    <t>S0398</t>
  </si>
  <si>
    <t>Jacqueline Roberts</t>
  </si>
  <si>
    <t>S0397</t>
  </si>
  <si>
    <t>James Salazar</t>
  </si>
  <si>
    <t>S0396</t>
  </si>
  <si>
    <t>William Boyer</t>
  </si>
  <si>
    <t>S0395</t>
  </si>
  <si>
    <t>Jean Marquez</t>
  </si>
  <si>
    <t>S0394</t>
  </si>
  <si>
    <t>Richard Garcia</t>
  </si>
  <si>
    <t>S0393</t>
  </si>
  <si>
    <t>Brenda Harris</t>
  </si>
  <si>
    <t>S0392</t>
  </si>
  <si>
    <t>Joshua Haynes</t>
  </si>
  <si>
    <t>S0391</t>
  </si>
  <si>
    <t>Julie Jones</t>
  </si>
  <si>
    <t>S0390</t>
  </si>
  <si>
    <t>Stephanie Snow</t>
  </si>
  <si>
    <t>S0389</t>
  </si>
  <si>
    <t>Teresa Little</t>
  </si>
  <si>
    <t>S0388</t>
  </si>
  <si>
    <t>George Abbott</t>
  </si>
  <si>
    <t>S0387</t>
  </si>
  <si>
    <t>Adam Smith</t>
  </si>
  <si>
    <t>S0386</t>
  </si>
  <si>
    <t>Peter Curtis</t>
  </si>
  <si>
    <t>S0385</t>
  </si>
  <si>
    <t>Adrian Estrada</t>
  </si>
  <si>
    <t>S0384</t>
  </si>
  <si>
    <t>Barbara Miller</t>
  </si>
  <si>
    <t>S0383</t>
  </si>
  <si>
    <t>Mary Fitzgerald</t>
  </si>
  <si>
    <t>S0382</t>
  </si>
  <si>
    <t>Catherine Gilmore</t>
  </si>
  <si>
    <t>S0381</t>
  </si>
  <si>
    <t>Brian Coleman</t>
  </si>
  <si>
    <t>S0380</t>
  </si>
  <si>
    <t>Patricia Bradley</t>
  </si>
  <si>
    <t>S0379</t>
  </si>
  <si>
    <t>Dana Wilson</t>
  </si>
  <si>
    <t>S0378</t>
  </si>
  <si>
    <t>Brendan Edwards</t>
  </si>
  <si>
    <t>S0377</t>
  </si>
  <si>
    <t>Jason Zimmerman</t>
  </si>
  <si>
    <t>S0376</t>
  </si>
  <si>
    <t>S0375</t>
  </si>
  <si>
    <t>Theresa Blackwell</t>
  </si>
  <si>
    <t>S0374</t>
  </si>
  <si>
    <t>Veronica Tyler</t>
  </si>
  <si>
    <t>S0373</t>
  </si>
  <si>
    <t>James Cook</t>
  </si>
  <si>
    <t>S0372</t>
  </si>
  <si>
    <t>Ann Hayes</t>
  </si>
  <si>
    <t>S0371</t>
  </si>
  <si>
    <t>Ana Humphrey</t>
  </si>
  <si>
    <t>S0370</t>
  </si>
  <si>
    <t>Jacqueline Whitney</t>
  </si>
  <si>
    <t>S0369</t>
  </si>
  <si>
    <t>Robin Walker</t>
  </si>
  <si>
    <t>S0368</t>
  </si>
  <si>
    <t>Betty Wright</t>
  </si>
  <si>
    <t>S0367</t>
  </si>
  <si>
    <t>Tammy Brown</t>
  </si>
  <si>
    <t>S0366</t>
  </si>
  <si>
    <t>S0365</t>
  </si>
  <si>
    <t>Jennifer Adams</t>
  </si>
  <si>
    <t>S0364</t>
  </si>
  <si>
    <t>Rhonda Richardson</t>
  </si>
  <si>
    <t>S0363</t>
  </si>
  <si>
    <t>Renee Hall</t>
  </si>
  <si>
    <t>S0362</t>
  </si>
  <si>
    <t>Lee Taylor</t>
  </si>
  <si>
    <t>S0361</t>
  </si>
  <si>
    <t>Peter Lawrence</t>
  </si>
  <si>
    <t>S0360</t>
  </si>
  <si>
    <t>Cynthia Hughes</t>
  </si>
  <si>
    <t>S0359</t>
  </si>
  <si>
    <t>Dawn Chavez</t>
  </si>
  <si>
    <t>S0358</t>
  </si>
  <si>
    <t>Alicia Spears</t>
  </si>
  <si>
    <t>S0357</t>
  </si>
  <si>
    <t>Anthony Stewart</t>
  </si>
  <si>
    <t>S0356</t>
  </si>
  <si>
    <t>Courtney Perkins</t>
  </si>
  <si>
    <t>S0355</t>
  </si>
  <si>
    <t>Benjamin Williams</t>
  </si>
  <si>
    <t>S0354</t>
  </si>
  <si>
    <t>Jennifer Taylor</t>
  </si>
  <si>
    <t>S0353</t>
  </si>
  <si>
    <t>Angie Parker</t>
  </si>
  <si>
    <t>S0352</t>
  </si>
  <si>
    <t>John Cook</t>
  </si>
  <si>
    <t>S0351</t>
  </si>
  <si>
    <t>Emily Lee</t>
  </si>
  <si>
    <t>S0350</t>
  </si>
  <si>
    <t>Alexandra Sanders</t>
  </si>
  <si>
    <t>S0349</t>
  </si>
  <si>
    <t>Nicole Matthews</t>
  </si>
  <si>
    <t>S0348</t>
  </si>
  <si>
    <t>Catherine Moore</t>
  </si>
  <si>
    <t>S0347</t>
  </si>
  <si>
    <t>Nicole Young</t>
  </si>
  <si>
    <t>S0346</t>
  </si>
  <si>
    <t>Nicholas Baker</t>
  </si>
  <si>
    <t>S0345</t>
  </si>
  <si>
    <t>Courtney Rodriguez</t>
  </si>
  <si>
    <t>S0344</t>
  </si>
  <si>
    <t>Brett Salas</t>
  </si>
  <si>
    <t>S0343</t>
  </si>
  <si>
    <t>Brian Sellers</t>
  </si>
  <si>
    <t>S0342</t>
  </si>
  <si>
    <t>Levi Turner</t>
  </si>
  <si>
    <t>S0341</t>
  </si>
  <si>
    <t>Adam Cuevas</t>
  </si>
  <si>
    <t>S0340</t>
  </si>
  <si>
    <t>Andrew Griffith</t>
  </si>
  <si>
    <t>S0339</t>
  </si>
  <si>
    <t>Jessica Smith</t>
  </si>
  <si>
    <t>S0338</t>
  </si>
  <si>
    <t>Brooke Bass</t>
  </si>
  <si>
    <t>S0337</t>
  </si>
  <si>
    <t>Daniel Stanley</t>
  </si>
  <si>
    <t>S0336</t>
  </si>
  <si>
    <t>Vincent Goodman</t>
  </si>
  <si>
    <t>S0335</t>
  </si>
  <si>
    <t>Lisa Harper</t>
  </si>
  <si>
    <t>S0334</t>
  </si>
  <si>
    <t>Carlos Miller</t>
  </si>
  <si>
    <t>S0333</t>
  </si>
  <si>
    <t>Carrie Owens</t>
  </si>
  <si>
    <t>S0332</t>
  </si>
  <si>
    <t>Jeremy Terry</t>
  </si>
  <si>
    <t>S0331</t>
  </si>
  <si>
    <t>Nancy Jackson</t>
  </si>
  <si>
    <t>S0330</t>
  </si>
  <si>
    <t>S0329</t>
  </si>
  <si>
    <t>Mr. David Lynch</t>
  </si>
  <si>
    <t>S0328</t>
  </si>
  <si>
    <t>Tina Yoder</t>
  </si>
  <si>
    <t>S0327</t>
  </si>
  <si>
    <t>William Turner</t>
  </si>
  <si>
    <t>S0326</t>
  </si>
  <si>
    <t>Charles Evans</t>
  </si>
  <si>
    <t>S0325</t>
  </si>
  <si>
    <t>Brenda Smith</t>
  </si>
  <si>
    <t>S0324</t>
  </si>
  <si>
    <t>Deborah Campbell</t>
  </si>
  <si>
    <t>S0323</t>
  </si>
  <si>
    <t>Austin Cruz</t>
  </si>
  <si>
    <t>S0322</t>
  </si>
  <si>
    <t>Monique Hernandez</t>
  </si>
  <si>
    <t>S0321</t>
  </si>
  <si>
    <t>Erica Todd</t>
  </si>
  <si>
    <t>S0320</t>
  </si>
  <si>
    <t>Nicholas Moran</t>
  </si>
  <si>
    <t>S0319</t>
  </si>
  <si>
    <t>Lori Lopez</t>
  </si>
  <si>
    <t>S0318</t>
  </si>
  <si>
    <t>Erik Miller</t>
  </si>
  <si>
    <t>S0317</t>
  </si>
  <si>
    <t>Jacob King</t>
  </si>
  <si>
    <t>S0316</t>
  </si>
  <si>
    <t>Michael Hernandez</t>
  </si>
  <si>
    <t>S0315</t>
  </si>
  <si>
    <t>David Sanders</t>
  </si>
  <si>
    <t>S0314</t>
  </si>
  <si>
    <t>Stephanie Wilson</t>
  </si>
  <si>
    <t>S0313</t>
  </si>
  <si>
    <t>Dale Schmidt</t>
  </si>
  <si>
    <t>S0312</t>
  </si>
  <si>
    <t>Roberto Morris</t>
  </si>
  <si>
    <t>S0311</t>
  </si>
  <si>
    <t>Kyle Scott</t>
  </si>
  <si>
    <t>S0310</t>
  </si>
  <si>
    <t>Stephen Richardson</t>
  </si>
  <si>
    <t>S0309</t>
  </si>
  <si>
    <t>Carly Murray</t>
  </si>
  <si>
    <t>S0308</t>
  </si>
  <si>
    <t>Andrea Shaw</t>
  </si>
  <si>
    <t>S0307</t>
  </si>
  <si>
    <t>Mr. Joseph Hooper</t>
  </si>
  <si>
    <t>S0306</t>
  </si>
  <si>
    <t>John Roberts</t>
  </si>
  <si>
    <t>S0305</t>
  </si>
  <si>
    <t>Alan Decker</t>
  </si>
  <si>
    <t>S0304</t>
  </si>
  <si>
    <t>Linda Thomas</t>
  </si>
  <si>
    <t>S0303</t>
  </si>
  <si>
    <t>Tiffany Bell</t>
  </si>
  <si>
    <t>S0302</t>
  </si>
  <si>
    <t>Susan Smith</t>
  </si>
  <si>
    <t>S0301</t>
  </si>
  <si>
    <t>Adam York</t>
  </si>
  <si>
    <t>S0300</t>
  </si>
  <si>
    <t>Nicole Key</t>
  </si>
  <si>
    <t>S0299</t>
  </si>
  <si>
    <t>Emma Martinez</t>
  </si>
  <si>
    <t>S0298</t>
  </si>
  <si>
    <t>James Curtis</t>
  </si>
  <si>
    <t>S0297</t>
  </si>
  <si>
    <t>Kathleen Whitehead</t>
  </si>
  <si>
    <t>S0296</t>
  </si>
  <si>
    <t>April Brown</t>
  </si>
  <si>
    <t>S0295</t>
  </si>
  <si>
    <t>Maria Wilson</t>
  </si>
  <si>
    <t>S0294</t>
  </si>
  <si>
    <t>Thomas Jackson</t>
  </si>
  <si>
    <t>S0293</t>
  </si>
  <si>
    <t>Jeffrey Henderson</t>
  </si>
  <si>
    <t>S0292</t>
  </si>
  <si>
    <t>Jessica Hunter</t>
  </si>
  <si>
    <t>S0291</t>
  </si>
  <si>
    <t>Karla Chavez</t>
  </si>
  <si>
    <t>S0290</t>
  </si>
  <si>
    <t>James Chambers</t>
  </si>
  <si>
    <t>S0289</t>
  </si>
  <si>
    <t>Wayne Phillips</t>
  </si>
  <si>
    <t>S0288</t>
  </si>
  <si>
    <t>Anne Adams</t>
  </si>
  <si>
    <t>S0287</t>
  </si>
  <si>
    <t>Steven Colon</t>
  </si>
  <si>
    <t>S0286</t>
  </si>
  <si>
    <t>Lisa Anderson</t>
  </si>
  <si>
    <t>S0285</t>
  </si>
  <si>
    <t>Amber Davis</t>
  </si>
  <si>
    <t>S0284</t>
  </si>
  <si>
    <t>Fernando Byrd</t>
  </si>
  <si>
    <t>S0283</t>
  </si>
  <si>
    <t>Thomas Reyes</t>
  </si>
  <si>
    <t>S0282</t>
  </si>
  <si>
    <t>Dave Reyes</t>
  </si>
  <si>
    <t>S0281</t>
  </si>
  <si>
    <t>Mr. Juan Vaughn</t>
  </si>
  <si>
    <t>S0280</t>
  </si>
  <si>
    <t>Kevin Barr</t>
  </si>
  <si>
    <t>S0279</t>
  </si>
  <si>
    <t>Theresa Newman</t>
  </si>
  <si>
    <t>S0278</t>
  </si>
  <si>
    <t>Douglas Banks</t>
  </si>
  <si>
    <t>S0277</t>
  </si>
  <si>
    <t>Ashley Michael</t>
  </si>
  <si>
    <t>S0276</t>
  </si>
  <si>
    <t>Sara Lewis</t>
  </si>
  <si>
    <t>S0275</t>
  </si>
  <si>
    <t>Kevin Allison</t>
  </si>
  <si>
    <t>S0274</t>
  </si>
  <si>
    <t>S0273</t>
  </si>
  <si>
    <t>Jimmy Orr</t>
  </si>
  <si>
    <t>S0272</t>
  </si>
  <si>
    <t>Diana Flynn</t>
  </si>
  <si>
    <t>S0271</t>
  </si>
  <si>
    <t>Carla George</t>
  </si>
  <si>
    <t>S0270</t>
  </si>
  <si>
    <t>Alexander Garcia</t>
  </si>
  <si>
    <t>S0269</t>
  </si>
  <si>
    <t>Christina Winters</t>
  </si>
  <si>
    <t>S0268</t>
  </si>
  <si>
    <t>Charles Williams</t>
  </si>
  <si>
    <t>S0267</t>
  </si>
  <si>
    <t>Erin Gibson</t>
  </si>
  <si>
    <t>S0266</t>
  </si>
  <si>
    <t>Heather Buchanan</t>
  </si>
  <si>
    <t>S0265</t>
  </si>
  <si>
    <t>Sean Romero</t>
  </si>
  <si>
    <t>S0264</t>
  </si>
  <si>
    <t>Deborah Hardy</t>
  </si>
  <si>
    <t>S0263</t>
  </si>
  <si>
    <t>David Hale</t>
  </si>
  <si>
    <t>S0262</t>
  </si>
  <si>
    <t>Alicia Thomas</t>
  </si>
  <si>
    <t>S0261</t>
  </si>
  <si>
    <t>Dustin Cooke</t>
  </si>
  <si>
    <t>S0260</t>
  </si>
  <si>
    <t>Anthony Hooper</t>
  </si>
  <si>
    <t>S0259</t>
  </si>
  <si>
    <t>Kimberly Woodward</t>
  </si>
  <si>
    <t>S0258</t>
  </si>
  <si>
    <t>Melissa Morgan</t>
  </si>
  <si>
    <t>S0257</t>
  </si>
  <si>
    <t>Elizabeth Wise</t>
  </si>
  <si>
    <t>S0256</t>
  </si>
  <si>
    <t>Robert Anthony</t>
  </si>
  <si>
    <t>S0255</t>
  </si>
  <si>
    <t>Andrew Le</t>
  </si>
  <si>
    <t>S0254</t>
  </si>
  <si>
    <t>Grace Horton</t>
  </si>
  <si>
    <t>S0253</t>
  </si>
  <si>
    <t>Anthony Rollins</t>
  </si>
  <si>
    <t>S0252</t>
  </si>
  <si>
    <t>Mikayla Stephenson</t>
  </si>
  <si>
    <t>S0251</t>
  </si>
  <si>
    <t>Lauren Garcia</t>
  </si>
  <si>
    <t>S0250</t>
  </si>
  <si>
    <t>Heather Hamilton</t>
  </si>
  <si>
    <t>S0249</t>
  </si>
  <si>
    <t>Lisa Johnson</t>
  </si>
  <si>
    <t>S0248</t>
  </si>
  <si>
    <t>Kristi Brock</t>
  </si>
  <si>
    <t>S0247</t>
  </si>
  <si>
    <t>Danielle Brown</t>
  </si>
  <si>
    <t>S0246</t>
  </si>
  <si>
    <t>Trevor Baker</t>
  </si>
  <si>
    <t>S0245</t>
  </si>
  <si>
    <t>Ryan Kemp</t>
  </si>
  <si>
    <t>S0244</t>
  </si>
  <si>
    <t>Kyle Perez</t>
  </si>
  <si>
    <t>S0243</t>
  </si>
  <si>
    <t>Wayne Davis</t>
  </si>
  <si>
    <t>S0242</t>
  </si>
  <si>
    <t>Mr. Dale Cooper</t>
  </si>
  <si>
    <t>S0241</t>
  </si>
  <si>
    <t>S0240</t>
  </si>
  <si>
    <t>Roy Greene</t>
  </si>
  <si>
    <t>S0239</t>
  </si>
  <si>
    <t>Cory Keller</t>
  </si>
  <si>
    <t>S0238</t>
  </si>
  <si>
    <t>Carolyn Hess</t>
  </si>
  <si>
    <t>S0237</t>
  </si>
  <si>
    <t>Melissa Johnson</t>
  </si>
  <si>
    <t>S0236</t>
  </si>
  <si>
    <t>Amy Ross</t>
  </si>
  <si>
    <t>S0235</t>
  </si>
  <si>
    <t>Heidi Frye</t>
  </si>
  <si>
    <t>S0234</t>
  </si>
  <si>
    <t>Elizabeth Briggs</t>
  </si>
  <si>
    <t>S0233</t>
  </si>
  <si>
    <t>Keith Johnson</t>
  </si>
  <si>
    <t>S0232</t>
  </si>
  <si>
    <t>Tom Kerr</t>
  </si>
  <si>
    <t>S0231</t>
  </si>
  <si>
    <t>Joshua Ruiz</t>
  </si>
  <si>
    <t>S0230</t>
  </si>
  <si>
    <t>Edward Tucker</t>
  </si>
  <si>
    <t>S0229</t>
  </si>
  <si>
    <t>George Lucero</t>
  </si>
  <si>
    <t>S0228</t>
  </si>
  <si>
    <t>Amanda Miles</t>
  </si>
  <si>
    <t>S0227</t>
  </si>
  <si>
    <t>Nathan Johnson</t>
  </si>
  <si>
    <t>S0226</t>
  </si>
  <si>
    <t>Richard Flores</t>
  </si>
  <si>
    <t>S0225</t>
  </si>
  <si>
    <t>Denise Parsons</t>
  </si>
  <si>
    <t>S0224</t>
  </si>
  <si>
    <t>Jason Bradley</t>
  </si>
  <si>
    <t>S0223</t>
  </si>
  <si>
    <t>Stephanie Gonzalez</t>
  </si>
  <si>
    <t>S0222</t>
  </si>
  <si>
    <t>Deborah Alvarado</t>
  </si>
  <si>
    <t>S0221</t>
  </si>
  <si>
    <t>Laura Ayers</t>
  </si>
  <si>
    <t>S0220</t>
  </si>
  <si>
    <t>Robert Mcdonald</t>
  </si>
  <si>
    <t>S0219</t>
  </si>
  <si>
    <t>Whitney Murray</t>
  </si>
  <si>
    <t>S0218</t>
  </si>
  <si>
    <t>Paul Dunn</t>
  </si>
  <si>
    <t>S0217</t>
  </si>
  <si>
    <t>Michael Ayers</t>
  </si>
  <si>
    <t>S0216</t>
  </si>
  <si>
    <t>Kenneth Turner</t>
  </si>
  <si>
    <t>S0215</t>
  </si>
  <si>
    <t>Casey Robinson</t>
  </si>
  <si>
    <t>S0214</t>
  </si>
  <si>
    <t>Scott Evans</t>
  </si>
  <si>
    <t>S0213</t>
  </si>
  <si>
    <t>David Miller</t>
  </si>
  <si>
    <t>S0212</t>
  </si>
  <si>
    <t>Kevin Green</t>
  </si>
  <si>
    <t>S0211</t>
  </si>
  <si>
    <t>Daniel Sanders</t>
  </si>
  <si>
    <t>S0210</t>
  </si>
  <si>
    <t>Karen Powers</t>
  </si>
  <si>
    <t>S0209</t>
  </si>
  <si>
    <t>John Powers</t>
  </si>
  <si>
    <t>S0208</t>
  </si>
  <si>
    <t>Shannon Miller</t>
  </si>
  <si>
    <t>S0207</t>
  </si>
  <si>
    <t>Trevor Andrade</t>
  </si>
  <si>
    <t>S0206</t>
  </si>
  <si>
    <t>Nicole Burnett</t>
  </si>
  <si>
    <t>S0205</t>
  </si>
  <si>
    <t>Charles Jones</t>
  </si>
  <si>
    <t>S0204</t>
  </si>
  <si>
    <t>Kevin Hendricks</t>
  </si>
  <si>
    <t>S0203</t>
  </si>
  <si>
    <t>Benjamin White</t>
  </si>
  <si>
    <t>S0202</t>
  </si>
  <si>
    <t>Carlos Logan</t>
  </si>
  <si>
    <t>S0201</t>
  </si>
  <si>
    <t>Robert Reyes</t>
  </si>
  <si>
    <t>S0200</t>
  </si>
  <si>
    <t>Cindy Carr</t>
  </si>
  <si>
    <t>S0199</t>
  </si>
  <si>
    <t>Joseph Salinas</t>
  </si>
  <si>
    <t>S0198</t>
  </si>
  <si>
    <t>Daniel Smith</t>
  </si>
  <si>
    <t>S0197</t>
  </si>
  <si>
    <t>Alexandra Alexander</t>
  </si>
  <si>
    <t>S0196</t>
  </si>
  <si>
    <t>Christina Bell</t>
  </si>
  <si>
    <t>S0195</t>
  </si>
  <si>
    <t>Ashley Wilson</t>
  </si>
  <si>
    <t>S0194</t>
  </si>
  <si>
    <t>Benjamin Evans</t>
  </si>
  <si>
    <t>S0193</t>
  </si>
  <si>
    <t>Angela Garner</t>
  </si>
  <si>
    <t>S0192</t>
  </si>
  <si>
    <t>Lauren Jackson</t>
  </si>
  <si>
    <t>S0191</t>
  </si>
  <si>
    <t>Ashley Ortiz</t>
  </si>
  <si>
    <t>S0190</t>
  </si>
  <si>
    <t>Justin Schultz</t>
  </si>
  <si>
    <t>S0189</t>
  </si>
  <si>
    <t>Samantha Hunter</t>
  </si>
  <si>
    <t>S0188</t>
  </si>
  <si>
    <t>Robert Perez</t>
  </si>
  <si>
    <t>S0187</t>
  </si>
  <si>
    <t>Holly Perry</t>
  </si>
  <si>
    <t>S0186</t>
  </si>
  <si>
    <t>Terri Rodriguez</t>
  </si>
  <si>
    <t>S0185</t>
  </si>
  <si>
    <t>Russell Gallagher</t>
  </si>
  <si>
    <t>S0184</t>
  </si>
  <si>
    <t>Heather Hays</t>
  </si>
  <si>
    <t>S0183</t>
  </si>
  <si>
    <t>Richard Lee</t>
  </si>
  <si>
    <t>S0182</t>
  </si>
  <si>
    <t>Deanna Stephens</t>
  </si>
  <si>
    <t>S0181</t>
  </si>
  <si>
    <t>Robert Clark</t>
  </si>
  <si>
    <t>S0180</t>
  </si>
  <si>
    <t>April Berry</t>
  </si>
  <si>
    <t>S0179</t>
  </si>
  <si>
    <t>Gerald Peterson</t>
  </si>
  <si>
    <t>S0178</t>
  </si>
  <si>
    <t>Christopher Sullivan</t>
  </si>
  <si>
    <t>S0177</t>
  </si>
  <si>
    <t>Marcia Harrison</t>
  </si>
  <si>
    <t>S0176</t>
  </si>
  <si>
    <t>George Knapp</t>
  </si>
  <si>
    <t>S0175</t>
  </si>
  <si>
    <t>Jade Delgado</t>
  </si>
  <si>
    <t>S0174</t>
  </si>
  <si>
    <t>Ann Mathews</t>
  </si>
  <si>
    <t>S0173</t>
  </si>
  <si>
    <t>Kelly Nguyen</t>
  </si>
  <si>
    <t>S0172</t>
  </si>
  <si>
    <t>Melissa Graham</t>
  </si>
  <si>
    <t>S0171</t>
  </si>
  <si>
    <t>Ryan Landry</t>
  </si>
  <si>
    <t>S0170</t>
  </si>
  <si>
    <t>Jay Smith</t>
  </si>
  <si>
    <t>S0169</t>
  </si>
  <si>
    <t>William Dominguez</t>
  </si>
  <si>
    <t>S0168</t>
  </si>
  <si>
    <t>Gerald Walker</t>
  </si>
  <si>
    <t>S0167</t>
  </si>
  <si>
    <t>Jeffrey Perez</t>
  </si>
  <si>
    <t>S0166</t>
  </si>
  <si>
    <t>Brandon Dennis</t>
  </si>
  <si>
    <t>S0165</t>
  </si>
  <si>
    <t>Shelly Johnston</t>
  </si>
  <si>
    <t>S0164</t>
  </si>
  <si>
    <t>Laura Gibbs</t>
  </si>
  <si>
    <t>S0163</t>
  </si>
  <si>
    <t>Gary Ellis</t>
  </si>
  <si>
    <t>S0162</t>
  </si>
  <si>
    <t>Andrea Brown</t>
  </si>
  <si>
    <t>S0161</t>
  </si>
  <si>
    <t>Bonnie Ortiz</t>
  </si>
  <si>
    <t>S0160</t>
  </si>
  <si>
    <t>Thomas Gibbs</t>
  </si>
  <si>
    <t>S0159</t>
  </si>
  <si>
    <t>Maria Pierce</t>
  </si>
  <si>
    <t>S0158</t>
  </si>
  <si>
    <t>Emma Parker</t>
  </si>
  <si>
    <t>S0157</t>
  </si>
  <si>
    <t>Brian Tucker</t>
  </si>
  <si>
    <t>S0156</t>
  </si>
  <si>
    <t>Christine Snow</t>
  </si>
  <si>
    <t>S0155</t>
  </si>
  <si>
    <t>Jason Leach</t>
  </si>
  <si>
    <t>S0154</t>
  </si>
  <si>
    <t>Tracey White</t>
  </si>
  <si>
    <t>S0153</t>
  </si>
  <si>
    <t>Alicia Smith</t>
  </si>
  <si>
    <t>S0152</t>
  </si>
  <si>
    <t>Robert Snyder</t>
  </si>
  <si>
    <t>S0151</t>
  </si>
  <si>
    <t>Michael Leonard</t>
  </si>
  <si>
    <t>S0150</t>
  </si>
  <si>
    <t>Tamara Taylor</t>
  </si>
  <si>
    <t>S0149</t>
  </si>
  <si>
    <t>Diana Johnson</t>
  </si>
  <si>
    <t>S0148</t>
  </si>
  <si>
    <t>Tracy Ward</t>
  </si>
  <si>
    <t>S0147</t>
  </si>
  <si>
    <t>Brian Morales</t>
  </si>
  <si>
    <t>S0146</t>
  </si>
  <si>
    <t>Brett Lee</t>
  </si>
  <si>
    <t>S0145</t>
  </si>
  <si>
    <t>Lori Gibson</t>
  </si>
  <si>
    <t>S0144</t>
  </si>
  <si>
    <t>Michael Robinson</t>
  </si>
  <si>
    <t>S0143</t>
  </si>
  <si>
    <t>Sharon Parker</t>
  </si>
  <si>
    <t>S0142</t>
  </si>
  <si>
    <t>Kathryn Johnson</t>
  </si>
  <si>
    <t>S0141</t>
  </si>
  <si>
    <t>Jason French</t>
  </si>
  <si>
    <t>S0140</t>
  </si>
  <si>
    <t>Nicole Patton</t>
  </si>
  <si>
    <t>S0139</t>
  </si>
  <si>
    <t>William Perez</t>
  </si>
  <si>
    <t>S0138</t>
  </si>
  <si>
    <t>Barbara Lopez</t>
  </si>
  <si>
    <t>S0137</t>
  </si>
  <si>
    <t>Randall Rogers</t>
  </si>
  <si>
    <t>S0136</t>
  </si>
  <si>
    <t>Jennifer Maldonado</t>
  </si>
  <si>
    <t>S0135</t>
  </si>
  <si>
    <t>Ashley Powell</t>
  </si>
  <si>
    <t>S0134</t>
  </si>
  <si>
    <t>Jimmy Hill</t>
  </si>
  <si>
    <t>S0133</t>
  </si>
  <si>
    <t>Kelly Prince</t>
  </si>
  <si>
    <t>S0132</t>
  </si>
  <si>
    <t>David Simpson</t>
  </si>
  <si>
    <t>S0131</t>
  </si>
  <si>
    <t>Thomas Joseph</t>
  </si>
  <si>
    <t>S0130</t>
  </si>
  <si>
    <t>Shannon Collins</t>
  </si>
  <si>
    <t>S0129</t>
  </si>
  <si>
    <t>Christine Thompson</t>
  </si>
  <si>
    <t>S0128</t>
  </si>
  <si>
    <t>Nathaniel Clark</t>
  </si>
  <si>
    <t>S0127</t>
  </si>
  <si>
    <t>Luis Thomas</t>
  </si>
  <si>
    <t>S0126</t>
  </si>
  <si>
    <t>Victoria Johnson</t>
  </si>
  <si>
    <t>S0125</t>
  </si>
  <si>
    <t>James Davis</t>
  </si>
  <si>
    <t>S0124</t>
  </si>
  <si>
    <t>Kenneth Lee</t>
  </si>
  <si>
    <t>S0123</t>
  </si>
  <si>
    <t>Ryan Jones</t>
  </si>
  <si>
    <t>S0122</t>
  </si>
  <si>
    <t>Melissa Callahan</t>
  </si>
  <si>
    <t>S0121</t>
  </si>
  <si>
    <t>William Franklin</t>
  </si>
  <si>
    <t>S0120</t>
  </si>
  <si>
    <t>Sandra Mccarty</t>
  </si>
  <si>
    <t>S0119</t>
  </si>
  <si>
    <t>Joseph Zimmerman</t>
  </si>
  <si>
    <t>S0118</t>
  </si>
  <si>
    <t>Adrienne Thomas</t>
  </si>
  <si>
    <t>S0117</t>
  </si>
  <si>
    <t>Hannah Hawkins</t>
  </si>
  <si>
    <t>S0116</t>
  </si>
  <si>
    <t>Shannon Mitchell</t>
  </si>
  <si>
    <t>S0115</t>
  </si>
  <si>
    <t>Janice Velasquez</t>
  </si>
  <si>
    <t>S0114</t>
  </si>
  <si>
    <t>Laura Prince</t>
  </si>
  <si>
    <t>S0113</t>
  </si>
  <si>
    <t>Pamela White DDS</t>
  </si>
  <si>
    <t>S0112</t>
  </si>
  <si>
    <t>Scott Russell</t>
  </si>
  <si>
    <t>S0111</t>
  </si>
  <si>
    <t>Daniel Brown</t>
  </si>
  <si>
    <t>S0110</t>
  </si>
  <si>
    <t>Brenda Davis</t>
  </si>
  <si>
    <t>S0109</t>
  </si>
  <si>
    <t>Oscar Wilkins</t>
  </si>
  <si>
    <t>S0108</t>
  </si>
  <si>
    <t>Kimberly Walter</t>
  </si>
  <si>
    <t>S0107</t>
  </si>
  <si>
    <t>Amy Nelson</t>
  </si>
  <si>
    <t>S0106</t>
  </si>
  <si>
    <t>Mary Sosa</t>
  </si>
  <si>
    <t>S0105</t>
  </si>
  <si>
    <t>Craig Martin</t>
  </si>
  <si>
    <t>S0104</t>
  </si>
  <si>
    <t>Todd Bishop</t>
  </si>
  <si>
    <t>S0103</t>
  </si>
  <si>
    <t>Thomas Mccoy</t>
  </si>
  <si>
    <t>S0102</t>
  </si>
  <si>
    <t>Alexis Smith</t>
  </si>
  <si>
    <t>S0101</t>
  </si>
  <si>
    <t>Samuel Wells</t>
  </si>
  <si>
    <t>S0100</t>
  </si>
  <si>
    <t>Kathy Johnson</t>
  </si>
  <si>
    <t>S0099</t>
  </si>
  <si>
    <t>Christian Walker</t>
  </si>
  <si>
    <t>S0098</t>
  </si>
  <si>
    <t>Dana Larsen</t>
  </si>
  <si>
    <t>S0097</t>
  </si>
  <si>
    <t>Jamie Hayes</t>
  </si>
  <si>
    <t>S0096</t>
  </si>
  <si>
    <t>Stephanie Hoffman</t>
  </si>
  <si>
    <t>S0095</t>
  </si>
  <si>
    <t>Alicia Huang</t>
  </si>
  <si>
    <t>S0094</t>
  </si>
  <si>
    <t>Ryan Friedman</t>
  </si>
  <si>
    <t>S0093</t>
  </si>
  <si>
    <t>Diane Carey</t>
  </si>
  <si>
    <t>S0092</t>
  </si>
  <si>
    <t>Laura Garcia</t>
  </si>
  <si>
    <t>S0091</t>
  </si>
  <si>
    <t>Gloria Blackwell</t>
  </si>
  <si>
    <t>S0090</t>
  </si>
  <si>
    <t>Tiffany Murphy</t>
  </si>
  <si>
    <t>S0089</t>
  </si>
  <si>
    <t>Gary Chen</t>
  </si>
  <si>
    <t>S0088</t>
  </si>
  <si>
    <t>Mary Alexander</t>
  </si>
  <si>
    <t>S0087</t>
  </si>
  <si>
    <t>Dylan Duarte</t>
  </si>
  <si>
    <t>S0086</t>
  </si>
  <si>
    <t>Madison Casey</t>
  </si>
  <si>
    <t>S0085</t>
  </si>
  <si>
    <t>Robert James</t>
  </si>
  <si>
    <t>S0084</t>
  </si>
  <si>
    <t>Lindsay Parsons</t>
  </si>
  <si>
    <t>S0083</t>
  </si>
  <si>
    <t>Kimberly Blair</t>
  </si>
  <si>
    <t>S0082</t>
  </si>
  <si>
    <t>Christy Todd</t>
  </si>
  <si>
    <t>S0081</t>
  </si>
  <si>
    <t>Alejandra Phillips</t>
  </si>
  <si>
    <t>S0080</t>
  </si>
  <si>
    <t>Whitney Conley</t>
  </si>
  <si>
    <t>S0079</t>
  </si>
  <si>
    <t>Jamie Wolf</t>
  </si>
  <si>
    <t>S0078</t>
  </si>
  <si>
    <t>Eddie Wilson</t>
  </si>
  <si>
    <t>S0077</t>
  </si>
  <si>
    <t>Douglas Brown</t>
  </si>
  <si>
    <t>S0076</t>
  </si>
  <si>
    <t>Richard Hull</t>
  </si>
  <si>
    <t>S0075</t>
  </si>
  <si>
    <t>Christina Daniels</t>
  </si>
  <si>
    <t>S0074</t>
  </si>
  <si>
    <t>Linda French</t>
  </si>
  <si>
    <t>S0073</t>
  </si>
  <si>
    <t>Richard Cole</t>
  </si>
  <si>
    <t>S0072</t>
  </si>
  <si>
    <t>S0071</t>
  </si>
  <si>
    <t>Matthew Gonzalez</t>
  </si>
  <si>
    <t>S0070</t>
  </si>
  <si>
    <t>Jeanne Soto</t>
  </si>
  <si>
    <t>S0069</t>
  </si>
  <si>
    <t>Cheryl Garcia</t>
  </si>
  <si>
    <t>S0068</t>
  </si>
  <si>
    <t>Robert Harris</t>
  </si>
  <si>
    <t>S0067</t>
  </si>
  <si>
    <t>Kelsey Martinez</t>
  </si>
  <si>
    <t>S0066</t>
  </si>
  <si>
    <t>Stephen Lopez MD</t>
  </si>
  <si>
    <t>S0065</t>
  </si>
  <si>
    <t>Traci Conley</t>
  </si>
  <si>
    <t>S0064</t>
  </si>
  <si>
    <t>Jeffrey Jacobson</t>
  </si>
  <si>
    <t>S0063</t>
  </si>
  <si>
    <t>Suzanne Alvarez</t>
  </si>
  <si>
    <t>S0062</t>
  </si>
  <si>
    <t>Steven Jones</t>
  </si>
  <si>
    <t>S0061</t>
  </si>
  <si>
    <t>Tina Ryan</t>
  </si>
  <si>
    <t>S0060</t>
  </si>
  <si>
    <t>Amy Garcia</t>
  </si>
  <si>
    <t>S0059</t>
  </si>
  <si>
    <t>Raymond Kaiser</t>
  </si>
  <si>
    <t>S0058</t>
  </si>
  <si>
    <t>Cindy Vasquez</t>
  </si>
  <si>
    <t>S0057</t>
  </si>
  <si>
    <t>Amanda Hughes</t>
  </si>
  <si>
    <t>S0056</t>
  </si>
  <si>
    <t>Michaela Lewis</t>
  </si>
  <si>
    <t>S0055</t>
  </si>
  <si>
    <t>Amber Miller</t>
  </si>
  <si>
    <t>S0054</t>
  </si>
  <si>
    <t>James Estes</t>
  </si>
  <si>
    <t>S0053</t>
  </si>
  <si>
    <t>Sarah Allison</t>
  </si>
  <si>
    <t>S0052</t>
  </si>
  <si>
    <t>Sheila Burgess</t>
  </si>
  <si>
    <t>S0051</t>
  </si>
  <si>
    <t>Eduardo Rios</t>
  </si>
  <si>
    <t>S0050</t>
  </si>
  <si>
    <t>Frank Johns</t>
  </si>
  <si>
    <t>S0049</t>
  </si>
  <si>
    <t>Joshua Brown</t>
  </si>
  <si>
    <t>S0048</t>
  </si>
  <si>
    <t>Jeffery Gentry</t>
  </si>
  <si>
    <t>S0047</t>
  </si>
  <si>
    <t>Daniel Brennan</t>
  </si>
  <si>
    <t>S0046</t>
  </si>
  <si>
    <t>Carl Pittman</t>
  </si>
  <si>
    <t>S0045</t>
  </si>
  <si>
    <t>Charles Dudley MD</t>
  </si>
  <si>
    <t>S0044</t>
  </si>
  <si>
    <t>Samuel Myers</t>
  </si>
  <si>
    <t>S0043</t>
  </si>
  <si>
    <t>Pamela Rodriguez</t>
  </si>
  <si>
    <t>S0042</t>
  </si>
  <si>
    <t>Matthew Moore</t>
  </si>
  <si>
    <t>S0041</t>
  </si>
  <si>
    <t>Samuel Wolf</t>
  </si>
  <si>
    <t>S0040</t>
  </si>
  <si>
    <t>Gerald Dudley Jr.</t>
  </si>
  <si>
    <t>S0039</t>
  </si>
  <si>
    <t>Tyler Powell</t>
  </si>
  <si>
    <t>S0038</t>
  </si>
  <si>
    <t>John Ramirez</t>
  </si>
  <si>
    <t>S0037</t>
  </si>
  <si>
    <t>Lauren Rivas</t>
  </si>
  <si>
    <t>S0036</t>
  </si>
  <si>
    <t>Sheila Carpenter</t>
  </si>
  <si>
    <t>S0035</t>
  </si>
  <si>
    <t>Diana Walters</t>
  </si>
  <si>
    <t>S0034</t>
  </si>
  <si>
    <t>Jennifer Young</t>
  </si>
  <si>
    <t>S0033</t>
  </si>
  <si>
    <t>Jodi Sosa</t>
  </si>
  <si>
    <t>S0032</t>
  </si>
  <si>
    <t>Jonathan Owens</t>
  </si>
  <si>
    <t>S0031</t>
  </si>
  <si>
    <t>Steven Wheeler</t>
  </si>
  <si>
    <t>S0030</t>
  </si>
  <si>
    <t>Christopher Hale</t>
  </si>
  <si>
    <t>S0029</t>
  </si>
  <si>
    <t>Cassandra Owens</t>
  </si>
  <si>
    <t>S0028</t>
  </si>
  <si>
    <t>Anthony Dougherty</t>
  </si>
  <si>
    <t>S0027</t>
  </si>
  <si>
    <t>Alexis Hester</t>
  </si>
  <si>
    <t>S0026</t>
  </si>
  <si>
    <t>Stacy Smith</t>
  </si>
  <si>
    <t>S0025</t>
  </si>
  <si>
    <t>Deanna Gutierrez</t>
  </si>
  <si>
    <t>S0024</t>
  </si>
  <si>
    <t>Sarah Knight</t>
  </si>
  <si>
    <t>S0023</t>
  </si>
  <si>
    <t>Isabella Miller</t>
  </si>
  <si>
    <t>S0022</t>
  </si>
  <si>
    <t>Kevin Lucas</t>
  </si>
  <si>
    <t>S0021</t>
  </si>
  <si>
    <t>Timothy Snyder</t>
  </si>
  <si>
    <t>S0020</t>
  </si>
  <si>
    <t>Kristin Tate</t>
  </si>
  <si>
    <t>S0019</t>
  </si>
  <si>
    <t>Sandra White</t>
  </si>
  <si>
    <t>S0018</t>
  </si>
  <si>
    <t>Scott Green</t>
  </si>
  <si>
    <t>S0017</t>
  </si>
  <si>
    <t>Jamie Garcia</t>
  </si>
  <si>
    <t>S0016</t>
  </si>
  <si>
    <t>Elizabeth Ward</t>
  </si>
  <si>
    <t>S0015</t>
  </si>
  <si>
    <t>Michelle Ware</t>
  </si>
  <si>
    <t>S0014</t>
  </si>
  <si>
    <t>Michael Scott</t>
  </si>
  <si>
    <t>S0013</t>
  </si>
  <si>
    <t>Cynthia Watts</t>
  </si>
  <si>
    <t>S0012</t>
  </si>
  <si>
    <t>Timothy Massey</t>
  </si>
  <si>
    <t>S0011</t>
  </si>
  <si>
    <t>Sara Stokes DVM</t>
  </si>
  <si>
    <t>S0010</t>
  </si>
  <si>
    <t>Tiffany Briggs</t>
  </si>
  <si>
    <t>S0009</t>
  </si>
  <si>
    <t>Jennifer Wiggins</t>
  </si>
  <si>
    <t>S0008</t>
  </si>
  <si>
    <t>Emily Baldwin</t>
  </si>
  <si>
    <t>S0007</t>
  </si>
  <si>
    <t>Alexis Zamora</t>
  </si>
  <si>
    <t>S0006</t>
  </si>
  <si>
    <t>Hannah Kelly</t>
  </si>
  <si>
    <t>S0005</t>
  </si>
  <si>
    <t>Mark Floyd</t>
  </si>
  <si>
    <t>S0004</t>
  </si>
  <si>
    <t>Daniel Anderson</t>
  </si>
  <si>
    <t>S0003</t>
  </si>
  <si>
    <t>Stephanie Clayton</t>
  </si>
  <si>
    <t>S0002</t>
  </si>
  <si>
    <t>Philip Cox</t>
  </si>
  <si>
    <t>S0001</t>
  </si>
  <si>
    <t>Grade</t>
  </si>
  <si>
    <t>Final Score</t>
  </si>
  <si>
    <t>Extreme_change _final</t>
  </si>
  <si>
    <t>Final_Exam_Score</t>
  </si>
  <si>
    <t>Midterm_Score</t>
  </si>
  <si>
    <t>Assignment_2</t>
  </si>
  <si>
    <t>Assignment_1</t>
  </si>
  <si>
    <t>Attendance_Percentage</t>
  </si>
  <si>
    <t>Class</t>
  </si>
  <si>
    <t>Name</t>
  </si>
  <si>
    <t>Student_ID</t>
  </si>
  <si>
    <t>Count of Student_ID</t>
  </si>
  <si>
    <t>Row Labels</t>
  </si>
  <si>
    <t>Grand Total</t>
  </si>
  <si>
    <t>Average of Attendance_Percentage</t>
  </si>
  <si>
    <t>Min of Attendance_Percentage</t>
  </si>
  <si>
    <t>A</t>
  </si>
  <si>
    <t>B</t>
  </si>
  <si>
    <t>C</t>
  </si>
  <si>
    <t>D</t>
  </si>
  <si>
    <t>F</t>
  </si>
  <si>
    <t>Count of Grade</t>
  </si>
  <si>
    <t>Average of Final Score</t>
  </si>
  <si>
    <t>Medain final</t>
  </si>
  <si>
    <t>Max</t>
  </si>
  <si>
    <t>Min</t>
  </si>
  <si>
    <t>Range</t>
  </si>
  <si>
    <t>Action</t>
  </si>
  <si>
    <t>Average</t>
  </si>
  <si>
    <t>Column Labels</t>
  </si>
  <si>
    <t>All</t>
  </si>
  <si>
    <t>ShowRow</t>
  </si>
  <si>
    <t>Score</t>
  </si>
  <si>
    <t xml:space="preserve">Top 10 Students </t>
  </si>
  <si>
    <t xml:space="preserve">Top ten students </t>
  </si>
  <si>
    <t xml:space="preserve">Ten worst </t>
  </si>
  <si>
    <t xml:space="preserve"> score</t>
  </si>
  <si>
    <t>AVG. FINAL SCORE</t>
  </si>
  <si>
    <t xml:space="preserve">10 Worst students </t>
  </si>
  <si>
    <t>AVG. ATTENDANCE</t>
  </si>
  <si>
    <t>MAX SCORE</t>
  </si>
  <si>
    <t>MIN SCORE</t>
  </si>
  <si>
    <t>Student Metrics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</si>
</sst>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 &quot;▲&quot;;[Red]\-0\ &quot;▼&quot;;0"/>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Aptos Narrow"/>
      <family val="2"/>
      <scheme val="minor"/>
    </font>
    <font>
      <sz val="24"/>
      <color theme="1"/>
      <name val="Aptos Narrow"/>
      <family val="2"/>
      <scheme val="minor"/>
    </font>
    <font>
      <b/>
      <sz val="20"/>
      <color theme="1"/>
      <name val="Aptos Narrow"/>
      <family val="2"/>
      <scheme val="minor"/>
    </font>
    <font>
      <sz val="18"/>
      <color rgb="FFB8B8B8"/>
      <name val="Aptos Narrow"/>
      <family val="2"/>
      <scheme val="minor"/>
    </font>
    <font>
      <sz val="28"/>
      <color theme="0"/>
      <name val="Aptos Narrow"/>
      <family val="2"/>
      <scheme val="minor"/>
    </font>
    <font>
      <sz val="11"/>
      <color rgb="FF414141"/>
      <name val="Aptos Narrow"/>
      <family val="2"/>
      <scheme val="minor"/>
    </font>
    <font>
      <sz val="18"/>
      <color rgb="FF333333"/>
      <name val="Aptos Narrow"/>
      <family val="2"/>
      <scheme val="minor"/>
    </font>
    <font>
      <b/>
      <sz val="14"/>
      <color rgb="FF333333"/>
      <name val="Aptos Narrow"/>
      <family val="2"/>
      <scheme val="minor"/>
    </font>
    <font>
      <b/>
      <i/>
      <sz val="36"/>
      <color theme="1"/>
      <name val="Arial"/>
      <family val="2"/>
    </font>
    <font>
      <sz val="36"/>
      <color theme="1"/>
      <name val="Aptos Narrow"/>
      <family val="2"/>
      <scheme val="minor"/>
    </font>
  </fonts>
  <fills count="4">
    <fill>
      <patternFill patternType="none"/>
    </fill>
    <fill>
      <patternFill patternType="gray125"/>
    </fill>
    <fill>
      <patternFill patternType="solid">
        <fgColor rgb="FFF7F7F7"/>
        <bgColor indexed="64"/>
      </patternFill>
    </fill>
    <fill>
      <patternFill patternType="solid">
        <fgColor theme="3" tint="0.749992370372631"/>
        <bgColor indexed="64"/>
      </patternFill>
    </fill>
  </fills>
  <borders count="2">
    <border>
      <left/>
      <right/>
      <top/>
      <bottom/>
      <diagonal/>
    </border>
    <border>
      <left/>
      <right/>
      <top style="thin">
        <color theme="1"/>
      </top>
      <bottom style="thin">
        <color theme="1"/>
      </bottom>
      <diagonal/>
    </border>
  </borders>
  <cellStyleXfs count="2">
    <xf numFmtId="0" fontId="0" fillId="0" borderId="0"/>
    <xf numFmtId="9" fontId="1" fillId="0" borderId="0" applyFont="0" applyFill="0" applyBorder="0" applyAlignment="0" applyProtection="0"/>
  </cellStyleXfs>
  <cellXfs count="41">
    <xf numFmtId="0" fontId="0" fillId="0" borderId="0" xfId="0"/>
    <xf numFmtId="0" fontId="0" fillId="0" borderId="0" xfId="0" applyAlignment="1">
      <alignment horizontal="right"/>
    </xf>
    <xf numFmtId="0" fontId="0" fillId="0" borderId="0" xfId="1" applyNumberFormat="1" applyFont="1"/>
    <xf numFmtId="49" fontId="0" fillId="0" borderId="0" xfId="0" applyNumberFormat="1"/>
    <xf numFmtId="49" fontId="0" fillId="0" borderId="0" xfId="0" applyNumberFormat="1" applyAlignment="1">
      <alignment horizontal="right"/>
    </xf>
    <xf numFmtId="1"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1" fontId="0" fillId="0" borderId="0" xfId="0" pivotButton="1" applyNumberFormat="1"/>
    <xf numFmtId="1" fontId="0" fillId="0" borderId="0" xfId="0" applyNumberFormat="1" applyAlignment="1">
      <alignment horizontal="left"/>
    </xf>
    <xf numFmtId="9" fontId="2" fillId="0" borderId="1" xfId="1" applyFont="1" applyBorder="1"/>
    <xf numFmtId="1" fontId="2" fillId="0" borderId="1" xfId="0" applyNumberFormat="1" applyFont="1" applyBorder="1"/>
    <xf numFmtId="9" fontId="0" fillId="0" borderId="0" xfId="0" applyNumberFormat="1"/>
    <xf numFmtId="2" fontId="0" fillId="0" borderId="0" xfId="0" applyNumberFormat="1"/>
    <xf numFmtId="1" fontId="2" fillId="0" borderId="0" xfId="0" applyNumberFormat="1" applyFont="1"/>
    <xf numFmtId="49" fontId="0" fillId="0" borderId="0" xfId="0" applyNumberFormat="1" applyAlignment="1">
      <alignment horizontal="center" vertical="center"/>
    </xf>
    <xf numFmtId="9" fontId="0" fillId="0" borderId="0" xfId="1" applyFont="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0" fillId="2" borderId="0" xfId="0" applyFill="1"/>
    <xf numFmtId="0" fontId="7" fillId="2" borderId="0" xfId="0" applyFont="1" applyFill="1" applyAlignment="1">
      <alignment horizontal="center"/>
    </xf>
    <xf numFmtId="0" fontId="2" fillId="2" borderId="0" xfId="0" applyFont="1" applyFill="1" applyAlignment="1">
      <alignment horizontal="center" vertical="center" wrapText="1"/>
    </xf>
    <xf numFmtId="9" fontId="0" fillId="2" borderId="0" xfId="1" applyFont="1" applyFill="1" applyBorder="1" applyAlignment="1">
      <alignment vertical="center" wrapText="1"/>
    </xf>
    <xf numFmtId="0" fontId="0" fillId="2" borderId="0" xfId="0" applyFill="1" applyAlignment="1">
      <alignment vertical="center" wrapText="1"/>
    </xf>
    <xf numFmtId="2" fontId="0" fillId="2" borderId="0" xfId="0" applyNumberFormat="1" applyFill="1" applyAlignment="1">
      <alignment vertical="center" wrapText="1"/>
    </xf>
    <xf numFmtId="0" fontId="8" fillId="2" borderId="0" xfId="0" applyFont="1" applyFill="1"/>
    <xf numFmtId="0" fontId="6" fillId="2" borderId="0" xfId="0" applyFont="1" applyFill="1"/>
    <xf numFmtId="0" fontId="3" fillId="2" borderId="0" xfId="0" applyFont="1" applyFill="1" applyAlignment="1">
      <alignment vertical="top"/>
    </xf>
    <xf numFmtId="0" fontId="10" fillId="2" borderId="0" xfId="0" applyFont="1" applyFill="1" applyAlignment="1">
      <alignment vertical="top"/>
    </xf>
    <xf numFmtId="0" fontId="9" fillId="2" borderId="0" xfId="0" applyFont="1" applyFill="1" applyAlignment="1">
      <alignment vertical="top"/>
    </xf>
    <xf numFmtId="0" fontId="4" fillId="3" borderId="0" xfId="0" applyFont="1" applyFill="1" applyAlignment="1">
      <alignment horizontal="center" vertical="center"/>
    </xf>
    <xf numFmtId="0" fontId="5" fillId="2" borderId="0" xfId="0" applyFont="1" applyFill="1" applyAlignment="1">
      <alignment horizontal="center" vertical="center"/>
    </xf>
    <xf numFmtId="0" fontId="11" fillId="2" borderId="0" xfId="0" applyFont="1" applyFill="1" applyAlignment="1">
      <alignment horizontal="center"/>
    </xf>
    <xf numFmtId="0" fontId="12" fillId="2" borderId="0" xfId="0" applyFont="1" applyFill="1" applyAlignment="1">
      <alignment horizontal="center"/>
    </xf>
    <xf numFmtId="9" fontId="4" fillId="3" borderId="0" xfId="1" applyFont="1" applyFill="1" applyBorder="1" applyAlignment="1">
      <alignment horizontal="center" vertical="center"/>
    </xf>
    <xf numFmtId="1" fontId="4" fillId="3" borderId="0" xfId="0" applyNumberFormat="1" applyFont="1" applyFill="1" applyAlignment="1">
      <alignment horizontal="center" vertical="center"/>
    </xf>
    <xf numFmtId="0" fontId="0" fillId="0" borderId="0" xfId="0" applyNumberFormat="1"/>
  </cellXfs>
  <cellStyles count="2">
    <cellStyle name="Normal" xfId="0" builtinId="0"/>
    <cellStyle name="Per cent" xfId="1" builtinId="5"/>
  </cellStyles>
  <dxfs count="40">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4" formatCode="0.00%"/>
    </dxf>
    <dxf>
      <numFmt numFmtId="14" formatCode="0.00%"/>
    </dxf>
    <dxf>
      <numFmt numFmtId="14" formatCode="0.0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alignment horizontal="right" vertical="bottom" textRotation="0" wrapText="0" indent="0" justifyLastLine="0" shrinkToFit="0" readingOrder="0"/>
    </dxf>
    <dxf>
      <numFmt numFmtId="0" formatCode="General"/>
    </dxf>
    <dxf>
      <numFmt numFmtId="164" formatCode="[Green]0\ &quot;▲&quot;;[Red]\-0\ &quot;▼&quot;;0"/>
    </dxf>
    <dxf>
      <numFmt numFmtId="1" formatCode="0"/>
    </dxf>
    <dxf>
      <numFmt numFmtId="1" formatCode="0"/>
    </dxf>
    <dxf>
      <numFmt numFmtId="1" formatCode="0"/>
    </dxf>
    <dxf>
      <numFmt numFmtId="1" formatCode="0"/>
    </dxf>
    <dxf>
      <font>
        <b val="0"/>
        <i val="0"/>
        <strike val="0"/>
        <condense val="0"/>
        <extend val="0"/>
        <outline val="0"/>
        <shadow val="0"/>
        <u val="none"/>
        <vertAlign val="baseline"/>
        <sz val="11"/>
        <color theme="1"/>
        <name val="Aptos Narrow"/>
        <family val="2"/>
        <scheme val="minor"/>
      </font>
    </dxf>
    <dxf>
      <numFmt numFmtId="30" formatCode="@"/>
    </dxf>
    <dxf>
      <numFmt numFmtId="30" formatCode="@"/>
    </dxf>
    <dxf>
      <numFmt numFmtId="30" formatCode="@"/>
    </dxf>
    <dxf>
      <numFmt numFmtId="1" formatCode="0"/>
      <alignment horizontal="center" vertical="center" textRotation="0" wrapText="0" indent="0" justifyLastLine="0" shrinkToFit="0" readingOrder="0"/>
    </dxf>
    <dxf>
      <numFmt numFmtId="1" formatCode="0"/>
    </dxf>
    <dxf>
      <font>
        <b/>
        <i val="0"/>
        <strike val="0"/>
        <condense val="0"/>
        <extend val="0"/>
        <outline val="0"/>
        <shadow val="0"/>
        <u val="none"/>
        <vertAlign val="baseline"/>
        <sz val="11"/>
        <color theme="1"/>
        <name val="Aptos Narrow"/>
        <family val="2"/>
        <scheme val="minor"/>
      </font>
      <numFmt numFmtId="1" formatCode="0"/>
    </dxf>
    <dxf>
      <numFmt numFmtId="14"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4" formatCode="0.00%"/>
    </dxf>
    <dxf>
      <font>
        <b/>
        <i/>
        <sz val="12"/>
        <color theme="0"/>
      </font>
      <fill>
        <patternFill>
          <fgColor rgb="FFDBDBDB"/>
        </patternFill>
      </fill>
      <border diagonalUp="0" diagonalDown="0">
        <left/>
        <right/>
        <top/>
        <bottom/>
        <vertical/>
        <horizontal/>
      </border>
    </dxf>
    <dxf>
      <font>
        <color theme="1"/>
      </font>
      <fill>
        <patternFill patternType="solid">
          <fgColor indexed="64"/>
          <bgColor rgb="FFF7F7F7"/>
        </patternFill>
      </fill>
      <border diagonalUp="0" diagonalDown="0">
        <left/>
        <right/>
        <top/>
        <bottom/>
        <vertical/>
        <horizontal/>
      </border>
    </dxf>
  </dxfs>
  <tableStyles count="1" defaultTableStyle="TableStyleMedium2" defaultPivotStyle="PivotStyleLight16">
    <tableStyle name="SlicerStyleOther1 2 2" pivot="0" table="0" count="10" xr9:uid="{8592020F-924D-4883-A607-DF2A96BF787E}">
      <tableStyleElement type="wholeTable" dxfId="39"/>
      <tableStyleElement type="headerRow" dxfId="38"/>
    </tableStyle>
  </tableStyles>
  <colors>
    <mruColors>
      <color rgb="FF9467BD"/>
      <color rgb="FF17BECF"/>
      <color rgb="FFFF7F0E"/>
      <color rgb="FF2CA02C"/>
      <color rgb="FFF7F7F7"/>
      <color rgb="FF333333"/>
      <color rgb="FFEFEFEF"/>
      <color rgb="FFA2D100"/>
      <color rgb="FF00BAFF"/>
      <color rgb="FFFF95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theme="0"/>
          </font>
          <fill>
            <patternFill patternType="solid">
              <fgColor theme="3" tint="0.24994659260841701"/>
              <bgColor theme="0" tint="-0.14996795556505021"/>
            </patternFill>
          </fill>
          <border diagonalUp="0" diagonalDown="0">
            <left/>
            <right/>
            <top/>
            <bottom/>
            <vertical/>
            <horizontal/>
          </border>
        </dxf>
        <dxf>
          <font>
            <b/>
            <i val="0"/>
            <sz val="12"/>
            <color rgb="FF414141"/>
          </font>
          <fill>
            <patternFill patternType="solid">
              <fgColor theme="0" tint="-0.249977111117893"/>
              <bgColor theme="4" tint="0.59996337778862885"/>
            </patternFill>
          </fill>
          <border diagonalUp="0" diagonalDown="0">
            <left/>
            <right/>
            <top/>
            <bottom/>
            <vertical/>
            <horizontal/>
          </border>
        </dxf>
        <dxf>
          <font>
            <color rgb="FF959595"/>
          </font>
          <fill>
            <patternFill patternType="solid">
              <fgColor theme="0"/>
              <bgColor theme="0"/>
            </patternFill>
          </fill>
          <border diagonalUp="0" diagonalDown="0">
            <left/>
            <right/>
            <top/>
            <bottom/>
            <vertical/>
            <horizontal/>
          </border>
        </dxf>
        <dxf>
          <font>
            <b/>
            <i val="0"/>
            <sz val="12"/>
            <color theme="1"/>
          </font>
          <fill>
            <patternFill patternType="solid">
              <fgColor theme="2" tint="-9.9917600024414813E-2"/>
              <bgColor theme="2" tint="-9.9948118533890809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6.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4.xlsx]Pivot_Data!Number_of_Students_in_Class</c:name>
    <c:fmtId val="3"/>
  </c:pivotSource>
  <c:chart>
    <c:title>
      <c:tx>
        <c:rich>
          <a:bodyPr rot="0" spcFirstLastPara="1" vertOverflow="ellipsis" vert="horz" wrap="square" anchor="ctr" anchorCtr="1"/>
          <a:lstStyle/>
          <a:p>
            <a:pPr>
              <a:defRPr sz="1800" b="1" i="1" u="none" strike="noStrike" kern="1200" spc="0" baseline="0">
                <a:solidFill>
                  <a:srgbClr val="333333"/>
                </a:solidFill>
                <a:latin typeface="+mn-lt"/>
                <a:ea typeface="+mn-ea"/>
                <a:cs typeface="+mn-cs"/>
              </a:defRPr>
            </a:pPr>
            <a:r>
              <a:rPr lang="en-US" sz="1800" b="1" i="1" u="none" strike="noStrike" baseline="0">
                <a:solidFill>
                  <a:srgbClr val="333333"/>
                </a:solidFill>
              </a:rPr>
              <a:t>Class Enrollment Breakdown</a:t>
            </a:r>
            <a:endParaRPr lang="en-US" sz="1800" b="1" i="1">
              <a:solidFill>
                <a:srgbClr val="333333"/>
              </a:solidFill>
            </a:endParaRPr>
          </a:p>
        </c:rich>
      </c:tx>
      <c:overlay val="0"/>
      <c:spPr>
        <a:noFill/>
        <a:ln>
          <a:noFill/>
        </a:ln>
        <a:effectLst/>
      </c:spPr>
      <c:txPr>
        <a:bodyPr rot="0" spcFirstLastPara="1" vertOverflow="ellipsis" vert="horz" wrap="square" anchor="ctr" anchorCtr="1"/>
        <a:lstStyle/>
        <a:p>
          <a:pPr>
            <a:defRPr sz="1800" b="1" i="1"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Pivot_Data!$B$3</c:f>
              <c:strCache>
                <c:ptCount val="1"/>
                <c:pt idx="0">
                  <c:v>Total</c:v>
                </c:pt>
              </c:strCache>
            </c:strRef>
          </c:tx>
          <c:spPr>
            <a:solidFill>
              <a:schemeClr val="accent1">
                <a:lumMod val="60000"/>
                <a:lumOff val="40000"/>
              </a:schemeClr>
            </a:solidFill>
            <a:ln>
              <a:solidFill>
                <a:schemeClr val="accent1"/>
              </a:solidFill>
            </a:ln>
            <a:effectLst/>
          </c:spPr>
          <c:invertIfNegative val="0"/>
          <c:cat>
            <c:strRef>
              <c:f>Pivot_Data!$A$4:$A$8</c:f>
              <c:strCache>
                <c:ptCount val="4"/>
                <c:pt idx="0">
                  <c:v>Class A</c:v>
                </c:pt>
                <c:pt idx="1">
                  <c:v>Class B</c:v>
                </c:pt>
                <c:pt idx="2">
                  <c:v>Class C</c:v>
                </c:pt>
                <c:pt idx="3">
                  <c:v>Class D</c:v>
                </c:pt>
              </c:strCache>
            </c:strRef>
          </c:cat>
          <c:val>
            <c:numRef>
              <c:f>Pivot_Data!$B$4:$B$8</c:f>
              <c:numCache>
                <c:formatCode>General</c:formatCode>
                <c:ptCount val="4"/>
                <c:pt idx="0">
                  <c:v>258</c:v>
                </c:pt>
                <c:pt idx="1">
                  <c:v>230</c:v>
                </c:pt>
                <c:pt idx="2">
                  <c:v>232</c:v>
                </c:pt>
                <c:pt idx="3">
                  <c:v>280</c:v>
                </c:pt>
              </c:numCache>
            </c:numRef>
          </c:val>
          <c:extLst>
            <c:ext xmlns:c16="http://schemas.microsoft.com/office/drawing/2014/chart" uri="{C3380CC4-5D6E-409C-BE32-E72D297353CC}">
              <c16:uniqueId val="{00000000-F7FA-4AD4-B447-FA706ED56691}"/>
            </c:ext>
          </c:extLst>
        </c:ser>
        <c:dLbls>
          <c:showLegendKey val="0"/>
          <c:showVal val="0"/>
          <c:showCatName val="0"/>
          <c:showSerName val="0"/>
          <c:showPercent val="0"/>
          <c:showBubbleSize val="0"/>
        </c:dLbls>
        <c:gapWidth val="219"/>
        <c:overlap val="-27"/>
        <c:axId val="478093759"/>
        <c:axId val="478104799"/>
      </c:barChart>
      <c:catAx>
        <c:axId val="47809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333333"/>
                </a:solidFill>
                <a:latin typeface="+mn-lt"/>
                <a:ea typeface="+mn-ea"/>
                <a:cs typeface="+mn-cs"/>
              </a:defRPr>
            </a:pPr>
            <a:endParaRPr lang="en-US"/>
          </a:p>
        </c:txPr>
        <c:crossAx val="478104799"/>
        <c:crosses val="autoZero"/>
        <c:auto val="1"/>
        <c:lblAlgn val="ctr"/>
        <c:lblOffset val="100"/>
        <c:noMultiLvlLbl val="0"/>
      </c:catAx>
      <c:valAx>
        <c:axId val="478104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333333"/>
                </a:solidFill>
                <a:latin typeface="+mn-lt"/>
                <a:ea typeface="+mn-ea"/>
                <a:cs typeface="+mn-cs"/>
              </a:defRPr>
            </a:pPr>
            <a:endParaRPr lang="en-US"/>
          </a:p>
        </c:txPr>
        <c:crossAx val="47809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4.xlsx]Pivot_Data!PivotTable4</c:name>
    <c:fmtId val="12"/>
  </c:pivotSource>
  <c:chart>
    <c:title>
      <c:tx>
        <c:rich>
          <a:bodyPr rot="0" spcFirstLastPara="1" vertOverflow="ellipsis" vert="horz" wrap="square" anchor="ctr" anchorCtr="1"/>
          <a:lstStyle/>
          <a:p>
            <a:pPr>
              <a:defRPr sz="2000" b="1" i="1" u="none" strike="noStrike" kern="1200" spc="0" baseline="0">
                <a:solidFill>
                  <a:srgbClr val="333333"/>
                </a:solidFill>
                <a:latin typeface="+mn-lt"/>
                <a:ea typeface="+mn-ea"/>
                <a:cs typeface="+mn-cs"/>
              </a:defRPr>
            </a:pPr>
            <a:r>
              <a:rPr lang="en-US" sz="2000" b="1" i="1" u="none" strike="noStrike" baseline="0">
                <a:solidFill>
                  <a:srgbClr val="333333"/>
                </a:solidFill>
              </a:rPr>
              <a:t>Grade Frequency</a:t>
            </a:r>
            <a:endParaRPr lang="en-US" sz="2000">
              <a:solidFill>
                <a:srgbClr val="333333"/>
              </a:solidFill>
            </a:endParaRPr>
          </a:p>
        </c:rich>
      </c:tx>
      <c:overlay val="0"/>
      <c:spPr>
        <a:noFill/>
        <a:ln>
          <a:noFill/>
        </a:ln>
        <a:effectLst/>
      </c:spPr>
      <c:txPr>
        <a:bodyPr rot="0" spcFirstLastPara="1" vertOverflow="ellipsis" vert="horz" wrap="square" anchor="ctr" anchorCtr="1"/>
        <a:lstStyle/>
        <a:p>
          <a:pPr>
            <a:defRPr sz="2000" b="1" i="1" u="none" strike="noStrike" kern="1200" spc="0" baseline="0">
              <a:solidFill>
                <a:srgbClr val="33333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CA0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7F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17BEC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467BD"/>
          </a:solidFill>
          <a:ln>
            <a:no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Pivot_Data!$B$11:$B$12</c:f>
              <c:strCache>
                <c:ptCount val="1"/>
                <c:pt idx="0">
                  <c:v>Class A</c:v>
                </c:pt>
              </c:strCache>
            </c:strRef>
          </c:tx>
          <c:spPr>
            <a:solidFill>
              <a:srgbClr val="2CA02C"/>
            </a:solidFill>
            <a:ln>
              <a:noFill/>
            </a:ln>
            <a:effectLst/>
          </c:spPr>
          <c:invertIfNegative val="0"/>
          <c:cat>
            <c:strRef>
              <c:f>Pivot_Data!$A$13:$A$18</c:f>
              <c:strCache>
                <c:ptCount val="5"/>
                <c:pt idx="0">
                  <c:v>A</c:v>
                </c:pt>
                <c:pt idx="1">
                  <c:v>B</c:v>
                </c:pt>
                <c:pt idx="2">
                  <c:v>C</c:v>
                </c:pt>
                <c:pt idx="3">
                  <c:v>D</c:v>
                </c:pt>
                <c:pt idx="4">
                  <c:v>F</c:v>
                </c:pt>
              </c:strCache>
            </c:strRef>
          </c:cat>
          <c:val>
            <c:numRef>
              <c:f>Pivot_Data!$B$13:$B$18</c:f>
              <c:numCache>
                <c:formatCode>General</c:formatCode>
                <c:ptCount val="5"/>
                <c:pt idx="0">
                  <c:v>9</c:v>
                </c:pt>
                <c:pt idx="1">
                  <c:v>42</c:v>
                </c:pt>
                <c:pt idx="2">
                  <c:v>101</c:v>
                </c:pt>
                <c:pt idx="3">
                  <c:v>55</c:v>
                </c:pt>
                <c:pt idx="4">
                  <c:v>51</c:v>
                </c:pt>
              </c:numCache>
            </c:numRef>
          </c:val>
          <c:extLst>
            <c:ext xmlns:c16="http://schemas.microsoft.com/office/drawing/2014/chart" uri="{C3380CC4-5D6E-409C-BE32-E72D297353CC}">
              <c16:uniqueId val="{00000000-CAA7-46B4-AF84-253B0E72BCF2}"/>
            </c:ext>
          </c:extLst>
        </c:ser>
        <c:ser>
          <c:idx val="1"/>
          <c:order val="1"/>
          <c:tx>
            <c:strRef>
              <c:f>Pivot_Data!$C$11:$C$12</c:f>
              <c:strCache>
                <c:ptCount val="1"/>
                <c:pt idx="0">
                  <c:v>Class B</c:v>
                </c:pt>
              </c:strCache>
            </c:strRef>
          </c:tx>
          <c:spPr>
            <a:solidFill>
              <a:srgbClr val="FF7F0E"/>
            </a:solidFill>
            <a:ln>
              <a:noFill/>
            </a:ln>
            <a:effectLst/>
          </c:spPr>
          <c:invertIfNegative val="0"/>
          <c:cat>
            <c:strRef>
              <c:f>Pivot_Data!$A$13:$A$18</c:f>
              <c:strCache>
                <c:ptCount val="5"/>
                <c:pt idx="0">
                  <c:v>A</c:v>
                </c:pt>
                <c:pt idx="1">
                  <c:v>B</c:v>
                </c:pt>
                <c:pt idx="2">
                  <c:v>C</c:v>
                </c:pt>
                <c:pt idx="3">
                  <c:v>D</c:v>
                </c:pt>
                <c:pt idx="4">
                  <c:v>F</c:v>
                </c:pt>
              </c:strCache>
            </c:strRef>
          </c:cat>
          <c:val>
            <c:numRef>
              <c:f>Pivot_Data!$C$13:$C$18</c:f>
              <c:numCache>
                <c:formatCode>General</c:formatCode>
                <c:ptCount val="5"/>
                <c:pt idx="0">
                  <c:v>9</c:v>
                </c:pt>
                <c:pt idx="1">
                  <c:v>43</c:v>
                </c:pt>
                <c:pt idx="2">
                  <c:v>77</c:v>
                </c:pt>
                <c:pt idx="3">
                  <c:v>68</c:v>
                </c:pt>
                <c:pt idx="4">
                  <c:v>33</c:v>
                </c:pt>
              </c:numCache>
            </c:numRef>
          </c:val>
          <c:extLst>
            <c:ext xmlns:c16="http://schemas.microsoft.com/office/drawing/2014/chart" uri="{C3380CC4-5D6E-409C-BE32-E72D297353CC}">
              <c16:uniqueId val="{00000001-BC36-4EF1-918A-F0C2FA711BB7}"/>
            </c:ext>
          </c:extLst>
        </c:ser>
        <c:ser>
          <c:idx val="2"/>
          <c:order val="2"/>
          <c:tx>
            <c:strRef>
              <c:f>Pivot_Data!$D$11:$D$12</c:f>
              <c:strCache>
                <c:ptCount val="1"/>
                <c:pt idx="0">
                  <c:v>Class C</c:v>
                </c:pt>
              </c:strCache>
            </c:strRef>
          </c:tx>
          <c:spPr>
            <a:solidFill>
              <a:srgbClr val="17BECF"/>
            </a:solidFill>
            <a:ln>
              <a:noFill/>
            </a:ln>
            <a:effectLst/>
          </c:spPr>
          <c:invertIfNegative val="0"/>
          <c:cat>
            <c:strRef>
              <c:f>Pivot_Data!$A$13:$A$18</c:f>
              <c:strCache>
                <c:ptCount val="5"/>
                <c:pt idx="0">
                  <c:v>A</c:v>
                </c:pt>
                <c:pt idx="1">
                  <c:v>B</c:v>
                </c:pt>
                <c:pt idx="2">
                  <c:v>C</c:v>
                </c:pt>
                <c:pt idx="3">
                  <c:v>D</c:v>
                </c:pt>
                <c:pt idx="4">
                  <c:v>F</c:v>
                </c:pt>
              </c:strCache>
            </c:strRef>
          </c:cat>
          <c:val>
            <c:numRef>
              <c:f>Pivot_Data!$D$13:$D$18</c:f>
              <c:numCache>
                <c:formatCode>General</c:formatCode>
                <c:ptCount val="5"/>
                <c:pt idx="0">
                  <c:v>11</c:v>
                </c:pt>
                <c:pt idx="1">
                  <c:v>49</c:v>
                </c:pt>
                <c:pt idx="2">
                  <c:v>72</c:v>
                </c:pt>
                <c:pt idx="3">
                  <c:v>60</c:v>
                </c:pt>
                <c:pt idx="4">
                  <c:v>40</c:v>
                </c:pt>
              </c:numCache>
            </c:numRef>
          </c:val>
          <c:extLst>
            <c:ext xmlns:c16="http://schemas.microsoft.com/office/drawing/2014/chart" uri="{C3380CC4-5D6E-409C-BE32-E72D297353CC}">
              <c16:uniqueId val="{00000002-BC36-4EF1-918A-F0C2FA711BB7}"/>
            </c:ext>
          </c:extLst>
        </c:ser>
        <c:ser>
          <c:idx val="3"/>
          <c:order val="3"/>
          <c:tx>
            <c:strRef>
              <c:f>Pivot_Data!$E$11:$E$12</c:f>
              <c:strCache>
                <c:ptCount val="1"/>
                <c:pt idx="0">
                  <c:v>Class D</c:v>
                </c:pt>
              </c:strCache>
            </c:strRef>
          </c:tx>
          <c:spPr>
            <a:solidFill>
              <a:srgbClr val="9467BD"/>
            </a:solidFill>
            <a:ln>
              <a:noFill/>
            </a:ln>
            <a:effectLst>
              <a:outerShdw blurRad="50800" dist="50800" dir="5400000" algn="ctr" rotWithShape="0">
                <a:schemeClr val="bg1"/>
              </a:outerShdw>
            </a:effectLst>
          </c:spPr>
          <c:invertIfNegative val="0"/>
          <c:cat>
            <c:strRef>
              <c:f>Pivot_Data!$A$13:$A$18</c:f>
              <c:strCache>
                <c:ptCount val="5"/>
                <c:pt idx="0">
                  <c:v>A</c:v>
                </c:pt>
                <c:pt idx="1">
                  <c:v>B</c:v>
                </c:pt>
                <c:pt idx="2">
                  <c:v>C</c:v>
                </c:pt>
                <c:pt idx="3">
                  <c:v>D</c:v>
                </c:pt>
                <c:pt idx="4">
                  <c:v>F</c:v>
                </c:pt>
              </c:strCache>
            </c:strRef>
          </c:cat>
          <c:val>
            <c:numRef>
              <c:f>Pivot_Data!$E$13:$E$18</c:f>
              <c:numCache>
                <c:formatCode>General</c:formatCode>
                <c:ptCount val="5"/>
                <c:pt idx="0">
                  <c:v>4</c:v>
                </c:pt>
                <c:pt idx="1">
                  <c:v>55</c:v>
                </c:pt>
                <c:pt idx="2">
                  <c:v>85</c:v>
                </c:pt>
                <c:pt idx="3">
                  <c:v>72</c:v>
                </c:pt>
                <c:pt idx="4">
                  <c:v>64</c:v>
                </c:pt>
              </c:numCache>
            </c:numRef>
          </c:val>
          <c:extLst>
            <c:ext xmlns:c16="http://schemas.microsoft.com/office/drawing/2014/chart" uri="{C3380CC4-5D6E-409C-BE32-E72D297353CC}">
              <c16:uniqueId val="{00000003-BC36-4EF1-918A-F0C2FA711BB7}"/>
            </c:ext>
          </c:extLst>
        </c:ser>
        <c:dLbls>
          <c:showLegendKey val="0"/>
          <c:showVal val="0"/>
          <c:showCatName val="0"/>
          <c:showSerName val="0"/>
          <c:showPercent val="0"/>
          <c:showBubbleSize val="0"/>
        </c:dLbls>
        <c:gapWidth val="219"/>
        <c:overlap val="-27"/>
        <c:axId val="478105759"/>
        <c:axId val="478098079"/>
      </c:barChart>
      <c:catAx>
        <c:axId val="47810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rgbClr val="333333"/>
                </a:solidFill>
                <a:latin typeface="+mn-lt"/>
                <a:ea typeface="+mn-ea"/>
                <a:cs typeface="+mn-cs"/>
              </a:defRPr>
            </a:pPr>
            <a:endParaRPr lang="en-US"/>
          </a:p>
        </c:txPr>
        <c:crossAx val="478098079"/>
        <c:crosses val="autoZero"/>
        <c:auto val="1"/>
        <c:lblAlgn val="ctr"/>
        <c:lblOffset val="100"/>
        <c:noMultiLvlLbl val="0"/>
      </c:catAx>
      <c:valAx>
        <c:axId val="47809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333333"/>
                </a:solidFill>
                <a:latin typeface="+mn-lt"/>
                <a:ea typeface="+mn-ea"/>
                <a:cs typeface="+mn-cs"/>
              </a:defRPr>
            </a:pPr>
            <a:endParaRPr lang="en-US"/>
          </a:p>
        </c:txPr>
        <c:crossAx val="478105759"/>
        <c:crosses val="autoZero"/>
        <c:crossBetween val="between"/>
      </c:valAx>
      <c:spPr>
        <a:solidFill>
          <a:srgbClr val="F7F7F7"/>
        </a:solid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ln>
                <a:noFill/>
              </a:ln>
              <a:solidFill>
                <a:srgbClr val="33333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7F7F7"/>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Lines="5" dropStyle="combo" dx="26" fmlaLink="Helper!$C$3" fmlaRange="Helper!$A$2:$A$6"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303108</xdr:colOff>
      <xdr:row>16</xdr:row>
      <xdr:rowOff>27940</xdr:rowOff>
    </xdr:from>
    <xdr:to>
      <xdr:col>13</xdr:col>
      <xdr:colOff>777241</xdr:colOff>
      <xdr:row>28</xdr:row>
      <xdr:rowOff>28575</xdr:rowOff>
    </xdr:to>
    <xdr:graphicFrame macro="">
      <xdr:nvGraphicFramePr>
        <xdr:cNvPr id="2" name="Chart 1">
          <a:extLst>
            <a:ext uri="{FF2B5EF4-FFF2-40B4-BE49-F238E27FC236}">
              <a16:creationId xmlns:a16="http://schemas.microsoft.com/office/drawing/2014/main" id="{0C58358B-7B5A-49C5-8A52-C298E6A59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81280</xdr:colOff>
      <xdr:row>15</xdr:row>
      <xdr:rowOff>150706</xdr:rowOff>
    </xdr:from>
    <xdr:to>
      <xdr:col>19</xdr:col>
      <xdr:colOff>287656</xdr:colOff>
      <xdr:row>27</xdr:row>
      <xdr:rowOff>198966</xdr:rowOff>
    </xdr:to>
    <xdr:graphicFrame macro="">
      <xdr:nvGraphicFramePr>
        <xdr:cNvPr id="3" name="Chart 2">
          <a:extLst>
            <a:ext uri="{FF2B5EF4-FFF2-40B4-BE49-F238E27FC236}">
              <a16:creationId xmlns:a16="http://schemas.microsoft.com/office/drawing/2014/main" id="{1386AF6C-B98B-4887-AECF-49EFE17F4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485775</xdr:colOff>
      <xdr:row>15</xdr:row>
      <xdr:rowOff>133350</xdr:rowOff>
    </xdr:from>
    <xdr:to>
      <xdr:col>21</xdr:col>
      <xdr:colOff>371475</xdr:colOff>
      <xdr:row>27</xdr:row>
      <xdr:rowOff>200025</xdr:rowOff>
    </xdr:to>
    <mc:AlternateContent xmlns:mc="http://schemas.openxmlformats.org/markup-compatibility/2006" xmlns:a14="http://schemas.microsoft.com/office/drawing/2010/main">
      <mc:Choice Requires="a14">
        <xdr:graphicFrame macro="">
          <xdr:nvGraphicFramePr>
            <xdr:cNvPr id="7" name="Class">
              <a:extLst>
                <a:ext uri="{FF2B5EF4-FFF2-40B4-BE49-F238E27FC236}">
                  <a16:creationId xmlns:a16="http://schemas.microsoft.com/office/drawing/2014/main" id="{947B1C44-3126-8DD4-8263-C733C4E833B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lass"/>
            </a:graphicData>
          </a:graphic>
        </xdr:graphicFrame>
      </mc:Choice>
      <mc:Fallback xmlns="">
        <xdr:sp macro="" textlink="">
          <xdr:nvSpPr>
            <xdr:cNvPr id="0" name=""/>
            <xdr:cNvSpPr>
              <a:spLocks noTextEdit="1"/>
            </xdr:cNvSpPr>
          </xdr:nvSpPr>
          <xdr:spPr>
            <a:xfrm>
              <a:off x="15830550" y="3152775"/>
              <a:ext cx="1619250" cy="282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mc:AlternateContent xmlns:mc="http://schemas.openxmlformats.org/markup-compatibility/2006">
    <mc:Choice xmlns:a14="http://schemas.microsoft.com/office/drawing/2010/main" Requires="a14">
      <xdr:twoCellAnchor editAs="absolute">
        <xdr:from>
          <xdr:col>19</xdr:col>
          <xdr:colOff>220980</xdr:colOff>
          <xdr:row>5</xdr:row>
          <xdr:rowOff>22860</xdr:rowOff>
        </xdr:from>
        <xdr:to>
          <xdr:col>21</xdr:col>
          <xdr:colOff>601980</xdr:colOff>
          <xdr:row>6</xdr:row>
          <xdr:rowOff>160020</xdr:rowOff>
        </xdr:to>
        <xdr:sp macro="" textlink="">
          <xdr:nvSpPr>
            <xdr:cNvPr id="3083" name="Drop Down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0925925" backgroundQuery="1" createdVersion="8" refreshedVersion="8" minRefreshableVersion="3" recordCount="0" supportSubquery="1" supportAdvancedDrill="1" xr:uid="{A1C3A40E-4C3E-476A-BE01-95218BC09DB9}">
  <cacheSource type="external" connectionId="1"/>
  <cacheFields count="2">
    <cacheField name="[Table1].[Class].[Class]" caption="Class" numFmtId="0" hierarchy="2" level="1">
      <sharedItems count="4">
        <s v="Class A"/>
        <s v="Class B"/>
        <s v="Class C"/>
        <s v="Class D"/>
      </sharedItems>
    </cacheField>
    <cacheField name="[Measures].[Average of Attendance_Percentage]" caption="Average of Attendance_Percentage" numFmtId="0" hierarchy="13" level="32767"/>
  </cacheFields>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0"/>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0" memberValueDatatype="130" unbalanced="0"/>
    <cacheHierarchy uniqueName="[Measures].[Count of Student_ID]" caption="Count of Student_ID" measure="1" displayFolder="" measureGroup="Table1" count="0">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oneField="1">
      <fieldsUsage count="1">
        <fieldUsage x="1"/>
      </fieldsUsage>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2083333" backgroundQuery="1" createdVersion="8" refreshedVersion="8" minRefreshableVersion="3" recordCount="0" supportSubquery="1" supportAdvancedDrill="1" xr:uid="{58D05712-50DC-4923-BC54-CA20252B76ED}">
  <cacheSource type="external" connectionId="1"/>
  <cacheFields count="2">
    <cacheField name="[Table1].[Class].[Class]" caption="Class" numFmtId="0" hierarchy="2" level="1">
      <sharedItems count="4">
        <s v="Class A"/>
        <s v="Class B"/>
        <s v="Class C"/>
        <s v="Class D"/>
      </sharedItems>
    </cacheField>
    <cacheField name="[Measures].[Min of Attendance_Percentage]" caption="Min of Attendance_Percentage" numFmtId="0" hierarchy="15" level="32767"/>
  </cacheFields>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0"/>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0" memberValueDatatype="130" unbalanced="0"/>
    <cacheHierarchy uniqueName="[Measures].[Count of Student_ID]" caption="Count of Student_ID" measure="1" displayFolder="" measureGroup="Table1" count="0">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oneField="1">
      <fieldsUsage count="1">
        <fieldUsage x="1"/>
      </fieldsUsage>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3125003" backgroundQuery="1" createdVersion="8" refreshedVersion="8" minRefreshableVersion="3" recordCount="0" supportSubquery="1" supportAdvancedDrill="1" xr:uid="{4A1460EC-EF88-4DD9-AB19-493AF0AFFFAF}">
  <cacheSource type="external" connectionId="1"/>
  <cacheFields count="3">
    <cacheField name="[Table1].[Class].[Class]" caption="Class" numFmtId="0" hierarchy="2" level="1">
      <sharedItems count="4">
        <s v="Class A"/>
        <s v="Class B"/>
        <s v="Class C"/>
        <s v="Class D"/>
      </sharedItems>
    </cacheField>
    <cacheField name="[Measures].[Count of Grade]" caption="Count of Grade" numFmtId="0" hierarchy="16" level="32767"/>
    <cacheField name="[Table1].[Grade].[Grade]" caption="Grade" numFmtId="0" hierarchy="10" level="1">
      <sharedItems count="5">
        <s v="A"/>
        <s v="B"/>
        <s v="C"/>
        <s v="D"/>
        <s v="F"/>
      </sharedItems>
    </cacheField>
  </cacheFields>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0"/>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2" memberValueDatatype="130" unbalanced="0">
      <fieldsUsage count="2">
        <fieldUsage x="-1"/>
        <fieldUsage x="2"/>
      </fieldsUsage>
    </cacheHierarchy>
    <cacheHierarchy uniqueName="[Measures].[Count of Student_ID]" caption="Count of Student_ID" measure="1" displayFolder="" measureGroup="Table1" count="0">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4050927" backgroundQuery="1" createdVersion="8" refreshedVersion="8" minRefreshableVersion="3" recordCount="0" supportSubquery="1" supportAdvancedDrill="1" xr:uid="{4155F0CD-4224-4ED6-AEA8-E7E0644A21BA}">
  <cacheSource type="external" connectionId="1"/>
  <cacheFields count="2">
    <cacheField name="[Table1].[Class].[Class]" caption="Class" numFmtId="0" hierarchy="2" level="1">
      <sharedItems count="4">
        <s v="Class A"/>
        <s v="Class B"/>
        <s v="Class C"/>
        <s v="Class D"/>
      </sharedItems>
    </cacheField>
    <cacheField name="[Measures].[Average of Final Score]" caption="Average of Final Score" numFmtId="0" hierarchy="19" level="32767"/>
  </cacheFields>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0"/>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0" memberValueDatatype="130" unbalanced="0"/>
    <cacheHierarchy uniqueName="[Measures].[Count of Student_ID]" caption="Count of Student_ID" measure="1" displayFolder="" measureGroup="Table1" count="0">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oneField="1">
      <fieldsUsage count="1">
        <fieldUsage x="1"/>
      </fieldsUsage>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5092589" backgroundQuery="1" createdVersion="8" refreshedVersion="8" minRefreshableVersion="3" recordCount="0" supportSubquery="1" supportAdvancedDrill="1" xr:uid="{2F74D0D6-F64E-43C4-A955-85FFF1A3800B}">
  <cacheSource type="external" connectionId="1"/>
  <cacheFields count="2">
    <cacheField name="[Measures].[Count of Student_ID]" caption="Count of Student_ID" numFmtId="0" hierarchy="11" level="32767"/>
    <cacheField name="[Table1].[Class].[Class]" caption="Class" numFmtId="0" hierarchy="2" level="1">
      <sharedItems count="4">
        <s v="Class A"/>
        <s v="Class B"/>
        <s v="Class C"/>
        <s v="Class D"/>
      </sharedItems>
    </cacheField>
  </cacheFields>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fieldsUsage count="2">
        <fieldUsage x="-1"/>
        <fieldUsage x="1"/>
      </fieldsUsage>
    </cacheHierarchy>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0" memberValueDatatype="130" unbalanced="0"/>
    <cacheHierarchy uniqueName="[Measures].[Count of Student_ID]" caption="Count of Student_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vir Ahasan Jes" refreshedDate="45977.79000011574" backgroundQuery="1" createdVersion="3" refreshedVersion="8" minRefreshableVersion="3" recordCount="0" supportSubquery="1" supportAdvancedDrill="1" xr:uid="{0206F9DE-4217-407F-86B8-3836504D027A}">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Student_ID]" caption="Student_ID" attribute="1" defaultMemberUniqueName="[Table1].[Student_ID].[All]" allUniqueName="[Table1].[Student_ID].[All]" dimensionUniqueName="[Table1]" displayFolder="" count="0" memberValueDatatype="130" unbalanced="0"/>
    <cacheHierarchy uniqueName="[Table1].[Name]" caption="Name" attribute="1" defaultMemberUniqueName="[Table1].[Name].[All]" allUniqueName="[Table1].[Name].[All]" dimensionUniqueName="[Table1]" displayFolder="" count="0" memberValueDatatype="130" unbalanced="0"/>
    <cacheHierarchy uniqueName="[Table1].[Class]" caption="Class" attribute="1" defaultMemberUniqueName="[Table1].[Class].[All]" allUniqueName="[Table1].[Class].[All]" dimensionUniqueName="[Table1]" displayFolder="" count="2" memberValueDatatype="130" unbalanced="0"/>
    <cacheHierarchy uniqueName="[Table1].[Attendance_Percentage]" caption="Attendance_Percentage" attribute="1" defaultMemberUniqueName="[Table1].[Attendance_Percentage].[All]" allUniqueName="[Table1].[Attendance_Percentage].[All]" dimensionUniqueName="[Table1]" displayFolder="" count="0" memberValueDatatype="5" unbalanced="0"/>
    <cacheHierarchy uniqueName="[Table1].[Assignment_1]" caption="Assignment_1" attribute="1" defaultMemberUniqueName="[Table1].[Assignment_1].[All]" allUniqueName="[Table1].[Assignment_1].[All]" dimensionUniqueName="[Table1]" displayFolder="" count="0" memberValueDatatype="20" unbalanced="0"/>
    <cacheHierarchy uniqueName="[Table1].[Assignment_2]" caption="Assignment_2" attribute="1" defaultMemberUniqueName="[Table1].[Assignment_2].[All]" allUniqueName="[Table1].[Assignment_2].[All]" dimensionUniqueName="[Table1]" displayFolder="" count="0" memberValueDatatype="20" unbalanced="0"/>
    <cacheHierarchy uniqueName="[Table1].[Midterm_Score]" caption="Midterm_Score" attribute="1" defaultMemberUniqueName="[Table1].[Midterm_Score].[All]" allUniqueName="[Table1].[Midterm_Score].[All]" dimensionUniqueName="[Table1]" displayFolder="" count="0" memberValueDatatype="20" unbalanced="0"/>
    <cacheHierarchy uniqueName="[Table1].[Final_Exam_Score]" caption="Final_Exam_Score" attribute="1" defaultMemberUniqueName="[Table1].[Final_Exam_Score].[All]" allUniqueName="[Table1].[Final_Exam_Score].[All]" dimensionUniqueName="[Table1]" displayFolder="" count="0" memberValueDatatype="20" unbalanced="0"/>
    <cacheHierarchy uniqueName="[Table1].[Extreme_change _final]" caption="Extreme_change _final" attribute="1" defaultMemberUniqueName="[Table1].[Extreme_change _final].[All]" allUniqueName="[Table1].[Extreme_change _final].[All]" dimensionUniqueName="[Table1]" displayFolder="" count="0" memberValueDatatype="130" unbalanced="0"/>
    <cacheHierarchy uniqueName="[Table1].[Final Score]" caption="Final Score" attribute="1" defaultMemberUniqueName="[Table1].[Final Score].[All]" allUniqueName="[Table1].[Final Score].[All]" dimensionUniqueName="[Table1]" displayFolder="" count="0" memberValueDatatype="5" unbalanced="0"/>
    <cacheHierarchy uniqueName="[Table1].[Grade]" caption="Grade" attribute="1" defaultMemberUniqueName="[Table1].[Grade].[All]" allUniqueName="[Table1].[Grade].[All]" dimensionUniqueName="[Table1]" displayFolder="" count="0" memberValueDatatype="130" unbalanced="0"/>
    <cacheHierarchy uniqueName="[Measures].[Count of Student_ID]" caption="Count of Student_ID" measure="1" displayFolder="" measureGroup="Table1" count="0">
      <extLst>
        <ext xmlns:x15="http://schemas.microsoft.com/office/spreadsheetml/2010/11/main" uri="{B97F6D7D-B522-45F9-BDA1-12C45D357490}">
          <x15:cacheHierarchy aggregatedColumn="0"/>
        </ext>
      </extLst>
    </cacheHierarchy>
    <cacheHierarchy uniqueName="[Measures].[Sum of Attendance_Percentage]" caption="Sum of Attendance_Percentage" measure="1" displayFolder="" measureGroup="Table1" count="0">
      <extLst>
        <ext xmlns:x15="http://schemas.microsoft.com/office/spreadsheetml/2010/11/main" uri="{B97F6D7D-B522-45F9-BDA1-12C45D357490}">
          <x15:cacheHierarchy aggregatedColumn="3"/>
        </ext>
      </extLst>
    </cacheHierarchy>
    <cacheHierarchy uniqueName="[Measures].[Average of Attendance_Percentage]" caption="Average of Attendance_Percentage" measure="1" displayFolder="" measureGroup="Table1" count="0">
      <extLst>
        <ext xmlns:x15="http://schemas.microsoft.com/office/spreadsheetml/2010/11/main" uri="{B97F6D7D-B522-45F9-BDA1-12C45D357490}">
          <x15:cacheHierarchy aggregatedColumn="3"/>
        </ext>
      </extLst>
    </cacheHierarchy>
    <cacheHierarchy uniqueName="[Measures].[Max of Attendance_Percentage]" caption="Max of Attendance_Percentage" measure="1" displayFolder="" measureGroup="Table1" count="0">
      <extLst>
        <ext xmlns:x15="http://schemas.microsoft.com/office/spreadsheetml/2010/11/main" uri="{B97F6D7D-B522-45F9-BDA1-12C45D357490}">
          <x15:cacheHierarchy aggregatedColumn="3"/>
        </ext>
      </extLst>
    </cacheHierarchy>
    <cacheHierarchy uniqueName="[Measures].[Min of Attendance_Percentage]" caption="Min of Attendance_Percentage" measure="1" displayFolder="" measureGroup="Table1" count="0">
      <extLst>
        <ext xmlns:x15="http://schemas.microsoft.com/office/spreadsheetml/2010/11/main" uri="{B97F6D7D-B522-45F9-BDA1-12C45D357490}">
          <x15:cacheHierarchy aggregatedColumn="3"/>
        </ext>
      </extLst>
    </cacheHierarchy>
    <cacheHierarchy uniqueName="[Measures].[Count of Grade]" caption="Count of Grade" measure="1" displayFolder="" measureGroup="Table1" count="0">
      <extLst>
        <ext xmlns:x15="http://schemas.microsoft.com/office/spreadsheetml/2010/11/main" uri="{B97F6D7D-B522-45F9-BDA1-12C45D357490}">
          <x15:cacheHierarchy aggregatedColumn="10"/>
        </ext>
      </extLst>
    </cacheHierarchy>
    <cacheHierarchy uniqueName="[Measures].[Count of Extreme_change _final]" caption="Count of Extreme_change _final" measure="1" displayFolder="" measureGroup="Table1" count="0">
      <extLst>
        <ext xmlns:x15="http://schemas.microsoft.com/office/spreadsheetml/2010/11/main" uri="{B97F6D7D-B522-45F9-BDA1-12C45D357490}">
          <x15:cacheHierarchy aggregatedColumn="8"/>
        </ext>
      </extLst>
    </cacheHierarchy>
    <cacheHierarchy uniqueName="[Measures].[Sum of Final Score]" caption="Sum of Final Score" measure="1" displayFolder="" measureGroup="Table1" count="0">
      <extLst>
        <ext xmlns:x15="http://schemas.microsoft.com/office/spreadsheetml/2010/11/main" uri="{B97F6D7D-B522-45F9-BDA1-12C45D357490}">
          <x15:cacheHierarchy aggregatedColumn="9"/>
        </ext>
      </extLst>
    </cacheHierarchy>
    <cacheHierarchy uniqueName="[Measures].[Average of Final Score]" caption="Average of Final Score" measure="1" displayFolder="" measureGroup="Table1" count="0">
      <extLst>
        <ext xmlns:x15="http://schemas.microsoft.com/office/spreadsheetml/2010/11/main" uri="{B97F6D7D-B522-45F9-BDA1-12C45D357490}">
          <x15:cacheHierarchy aggregatedColumn="9"/>
        </ext>
      </extLst>
    </cacheHierarchy>
    <cacheHierarchy uniqueName="[Measures].[Median_final_score]" caption="Median_final_scor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236438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46D7E-B00E-4872-A1DB-C28BC465A04E}" name="PivotTable2" cacheId="115" applyNumberFormats="0" applyBorderFormats="0" applyFontFormats="0" applyPatternFormats="0" applyAlignmentFormats="0" applyWidthHeightFormats="1" dataCaption="Values" tag="06d52ab2-0ec6-4e2d-9291-037d3162420e" updatedVersion="8" minRefreshableVersion="3" useAutoFormatting="1" itemPrintTitles="1" createdVersion="8" indent="0" outline="1" outlineData="1" multipleFieldFilters="0">
  <location ref="D3:E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Attendance_Percentage" fld="1" subtotal="average" baseField="0" baseItem="0" numFmtId="10"/>
  </dataFields>
  <formats count="2">
    <format dxfId="29">
      <pivotArea collapsedLevelsAreSubtotals="1" fieldPosition="0">
        <references count="1">
          <reference field="0" count="1">
            <x v="1"/>
          </reference>
        </references>
      </pivotArea>
    </format>
    <format dxfId="28">
      <pivotArea outline="0" fieldPosition="0">
        <references count="1">
          <reference field="4294967294" count="1">
            <x v="0"/>
          </reference>
        </references>
      </pivotArea>
    </format>
  </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7F5C65-9B04-4D6D-B9CB-D82EE03CE8CC}" name="Number_of_Students_in_Class" cacheId="127" applyNumberFormats="0" applyBorderFormats="0" applyFontFormats="0" applyPatternFormats="0" applyAlignmentFormats="0" applyWidthHeightFormats="1" dataCaption="Values" tag="591989eb-e9d2-413e-b650-6109e7369d92" updatedVersion="8" minRefreshableVersion="3" useAutoFormatting="1" itemPrintTitles="1" createdVersion="8" indent="0" outline="1" outlineData="1" multipleFieldFilters="0" chartFormat="6">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Studen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573B50-CB19-468D-9ABE-87418E925AB9}" name="PivotTable5" cacheId="124" applyNumberFormats="0" applyBorderFormats="0" applyFontFormats="0" applyPatternFormats="0" applyAlignmentFormats="0" applyWidthHeightFormats="1" dataCaption="Values" tag="a266f003-0216-4a65-88a7-d7c85bc639ba" updatedVersion="8" minRefreshableVersion="3" useAutoFormatting="1" itemPrintTitles="1" createdVersion="8" indent="0" outline="1" outlineData="1" multipleFieldFilters="0">
  <location ref="G11:H1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Final Score" fld="1" subtotal="average" baseField="0" baseItem="0" numFmtId="1"/>
  </dataFields>
  <formats count="6">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caption="Max of Attendance_Percentage"/>
    <pivotHierarchy dragToData="1" caption="Min of Attendance_Percentage"/>
    <pivotHierarchy dragToData="1"/>
    <pivotHierarchy dragToData="1"/>
    <pivotHierarchy dragToData="1"/>
    <pivotHierarchy dragToData="1" caption="Average of Final Score"/>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F0F0A4-1682-4406-BBC2-40F3DB5E4032}" name="PivotTable4" cacheId="121" applyNumberFormats="0" applyBorderFormats="0" applyFontFormats="0" applyPatternFormats="0" applyAlignmentFormats="0" applyWidthHeightFormats="1" dataCaption="Values" tag="36a8580f-6124-40ec-ac13-234c0a8fd874" updatedVersion="8" minRefreshableVersion="3" useAutoFormatting="1" subtotalHiddenItems="1" itemPrintTitles="1" createdVersion="8" indent="0" outline="1" outlineData="1" multipleFieldFilters="0" chartFormat="15">
  <location ref="A11:F18"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5">
    <i>
      <x/>
    </i>
    <i>
      <x v="1"/>
    </i>
    <i>
      <x v="2"/>
    </i>
    <i>
      <x v="3"/>
    </i>
    <i t="grand">
      <x/>
    </i>
  </colItems>
  <dataFields count="1">
    <dataField name="Count of Grade" fld="1" subtotal="count" baseField="0" baseItem="0"/>
  </dataFields>
  <chartFormats count="4">
    <chartFormat chart="12" format="8" series="1">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2">
          <reference field="4294967294" count="1" selected="0">
            <x v="0"/>
          </reference>
          <reference field="0" count="1" selected="0">
            <x v="1"/>
          </reference>
        </references>
      </pivotArea>
    </chartFormat>
    <chartFormat chart="12" format="10" series="1">
      <pivotArea type="data" outline="0" fieldPosition="0">
        <references count="2">
          <reference field="4294967294" count="1" selected="0">
            <x v="0"/>
          </reference>
          <reference field="0" count="1" selected="0">
            <x v="2"/>
          </reference>
        </references>
      </pivotArea>
    </chartFormat>
    <chartFormat chart="12" format="11" series="1">
      <pivotArea type="data" outline="0" fieldPosition="0">
        <references count="2">
          <reference field="4294967294" count="1" selected="0">
            <x v="0"/>
          </reference>
          <reference field="0" count="1" selected="0">
            <x v="3"/>
          </reference>
        </references>
      </pivotArea>
    </chartFormat>
  </chart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caption="Max of Attendance_Percentage"/>
    <pivotHierarchy dragToData="1" caption="Min of Attendance_Percentag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8B4CA-C9A8-4EEC-BAC5-0A3CAB91E0C7}" name="PivotTable3" cacheId="118" applyNumberFormats="0" applyBorderFormats="0" applyFontFormats="0" applyPatternFormats="0" applyAlignmentFormats="0" applyWidthHeightFormats="1" dataCaption="Values" tag="9950da91-127e-4a9d-b9bd-3969d65fe2cd" updatedVersion="8" minRefreshableVersion="3" useAutoFormatting="1" itemPrintTitles="1" createdVersion="8" indent="0" outline="1" outlineData="1" multipleFieldFilters="0">
  <location ref="G3:H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Min of Attendance_Percentage" fld="1" subtotal="min" baseField="0" baseItem="0" numFmtId="10"/>
  </dataFields>
  <formats count="2">
    <format dxfId="37">
      <pivotArea collapsedLevelsAreSubtotals="1" fieldPosition="0">
        <references count="1">
          <reference field="0" count="1">
            <x v="1"/>
          </reference>
        </references>
      </pivotArea>
    </format>
    <format dxfId="36">
      <pivotArea outline="0" fieldPosition="0">
        <references count="1">
          <reference field="4294967294" count="1">
            <x v="0"/>
          </reference>
        </references>
      </pivotArea>
    </format>
  </formats>
  <pivotHierarchies count="2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Percentage"/>
    <pivotHierarchy dragToData="1" caption="Max of Attendance_Percentage"/>
    <pivotHierarchy dragToData="1" caption="Min of Attendance_Percentag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 xr10:uid="{137581B2-E7A6-49C4-8F49-0142F4304CA2}" sourceName="[Table1].[Class]">
  <pivotTables>
    <pivotTable tabId="2" name="Number_of_Students_in_Class"/>
    <pivotTable tabId="2" name="PivotTable2"/>
    <pivotTable tabId="2" name="PivotTable3"/>
    <pivotTable tabId="2" name="PivotTable4"/>
    <pivotTable tabId="2" name="PivotTable5"/>
  </pivotTables>
  <data>
    <olap pivotCacheId="423643808">
      <levels count="2">
        <level uniqueName="[Table1].[Class].[(All)]" sourceCaption="(All)" count="0"/>
        <level uniqueName="[Table1].[Class].[Class]" sourceCaption="Class" count="4">
          <ranges>
            <range startItem="0">
              <i n="[Table1].[Class].&amp;[Class A]" c="Class A"/>
              <i n="[Table1].[Class].&amp;[Class B]" c="Class B"/>
              <i n="[Table1].[Class].&amp;[Class C]" c="Class C"/>
              <i n="[Table1].[Class].&amp;[Class D]" c="Class D"/>
            </range>
          </ranges>
        </level>
      </levels>
      <selections count="1">
        <selection n="[Table1].[Clas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ss" xr10:uid="{DAE7FFBA-3D6A-4EAC-81BD-041E95DBD419}" cache="Slicer_Class" caption="Class" level="1" style="SlicerStyleOther1 2 2" lockedPosition="1" rowHeight="57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1DB75B-2B2F-48A9-AB2A-4EE8C8221927}" name="Table2" displayName="Table2" ref="K4:Q9" totalsRowShown="0" headerRowDxfId="27">
  <autoFilter ref="K4:Q9" xr:uid="{DF1DB75B-2B2F-48A9-AB2A-4EE8C8221927}"/>
  <tableColumns count="7">
    <tableColumn id="1" xr3:uid="{CA074205-B8F5-4344-A86C-43F22B941531}" name="Action"/>
    <tableColumn id="2" xr3:uid="{B7E8F5F9-8F21-4531-86F1-37AD12F565F0}" name="Attendance_Percentage"/>
    <tableColumn id="3" xr3:uid="{E3C40A52-68B4-4A4D-8B34-A8F2B9776CA2}" name="Assignment_1"/>
    <tableColumn id="4" xr3:uid="{FF63F038-2B52-45AC-B61A-6187221A2ED6}" name="Assignment_2"/>
    <tableColumn id="5" xr3:uid="{2FB85D30-A27D-4399-ADD5-FDE5C51668EC}" name="Midterm_Score"/>
    <tableColumn id="6" xr3:uid="{02B2E611-E35F-4332-BC64-1FDF09F646E6}" name="Final_Exam_Score"/>
    <tableColumn id="7" xr3:uid="{EB0F309A-0A3D-427A-A84D-F80290B4C578}" name="Final Score" dataDxfId="26">
      <calculatedColumnFormula xml:space="preserve"> MAX(Table!J:J)</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B7BA12-66B2-423E-8446-6AC5C0FCDB63}" name="StudentsTable" displayName="StudentsTable" ref="A1:K1001" totalsRowShown="0" headerRowDxfId="25">
  <autoFilter ref="A1:K1001" xr:uid="{8C62C52C-BF02-41DD-A1CC-5E276062647D}"/>
  <tableColumns count="11">
    <tableColumn id="1" xr3:uid="{D7488514-CB6B-4A1E-9EC6-FDE24FF5870B}" name="Student_ID" dataDxfId="24"/>
    <tableColumn id="2" xr3:uid="{AF817045-8FEB-42DB-8633-B67E8332CC91}" name="Name" dataDxfId="23"/>
    <tableColumn id="3" xr3:uid="{87A1C3A2-F5EB-4E6A-B926-E9641CC8E3D0}" name="Class" dataDxfId="22"/>
    <tableColumn id="4" xr3:uid="{A45F772E-C486-4F5C-9CB2-6227A00D38CA}" name="Attendance_Percentage" dataDxfId="21" dataCellStyle="Per cent"/>
    <tableColumn id="5" xr3:uid="{0CE6C790-013A-4AFE-806E-375426D7A16B}" name="Assignment_1" dataDxfId="20"/>
    <tableColumn id="6" xr3:uid="{504CA04A-854E-45C8-9022-0924E7E0224A}" name="Assignment_2" dataDxfId="19"/>
    <tableColumn id="7" xr3:uid="{4583C054-5D6D-4D94-B734-F0F867A64664}" name="Midterm_Score" dataDxfId="18"/>
    <tableColumn id="8" xr3:uid="{0CB85C62-ECF0-4A1A-864D-5164EC5E5405}" name="Final_Exam_Score" dataDxfId="17"/>
    <tableColumn id="11" xr3:uid="{A35B60E3-F883-4DB6-B438-83556A8A7A7E}" name="Extreme_change _final" dataDxfId="16">
      <calculatedColumnFormula>IF(H2&gt;G2*1.15,H2-G2,IF(H2&lt;G2*0.65,H2-G2,""))</calculatedColumnFormula>
    </tableColumn>
    <tableColumn id="9" xr3:uid="{345B3568-19E2-42EA-B4A1-219CD578E810}" name="Final Score" dataDxfId="15">
      <calculatedColumnFormula>IF(ISBLANK(D2),"",IF(D2&gt;0.7,10,0)+(E2/100*5)+(F2/100*5)+(G2/100*40)+(H2/100*40))</calculatedColumnFormula>
    </tableColumn>
    <tableColumn id="10" xr3:uid="{2E47395A-4FA6-4733-8B06-D44CCFC72BF7}" name="Grade" dataDxfId="14">
      <calculatedColumnFormula>IF(J2&gt;=90,"A",IF(J2&gt;=80,"B",IF(J2&gt;=70,"C",IF(J2&gt;=60,"D","F"))))</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36239CE-0904-408B-A995-743E78399349}" name="Table4" displayName="Table4" ref="L1:L1002" totalsRowShown="0">
  <autoFilter ref="L1:L1002" xr:uid="{336239CE-0904-408B-A995-743E78399349}"/>
  <tableColumns count="1">
    <tableColumn id="1" xr3:uid="{0F491898-A252-4205-9430-B4C3BCAC9A8A}" name="ShowRow">
      <calculatedColumnFormula>IF(Helper!$E$3="All",1,IF(C2=Helper!$E$3,1,0))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D2688-7308-4315-9A11-A02456C63685}">
  <dimension ref="A3:Q18"/>
  <sheetViews>
    <sheetView workbookViewId="0">
      <selection activeCell="V7" sqref="V7"/>
    </sheetView>
  </sheetViews>
  <sheetFormatPr defaultRowHeight="14.4" x14ac:dyDescent="0.3"/>
  <cols>
    <col min="1" max="1" width="12.44140625" bestFit="1" customWidth="1"/>
    <col min="2" max="2" width="17.44140625" bestFit="1" customWidth="1"/>
    <col min="3" max="3" width="7" bestFit="1" customWidth="1"/>
    <col min="4" max="5" width="7.109375" bestFit="1" customWidth="1"/>
    <col min="6" max="6" width="10.5546875" bestFit="1" customWidth="1"/>
    <col min="7" max="7" width="12.44140625" bestFit="1" customWidth="1"/>
    <col min="8" max="8" width="19.21875" bestFit="1" customWidth="1"/>
    <col min="9" max="9" width="10.6640625" bestFit="1" customWidth="1"/>
    <col min="10" max="10" width="3" bestFit="1" customWidth="1"/>
    <col min="11" max="14" width="15.5546875" bestFit="1" customWidth="1"/>
    <col min="15" max="16" width="10.5546875" bestFit="1" customWidth="1"/>
    <col min="17" max="18" width="17" bestFit="1" customWidth="1"/>
    <col min="19" max="19" width="21.6640625" bestFit="1" customWidth="1"/>
    <col min="20" max="20" width="20.88671875" bestFit="1" customWidth="1"/>
  </cols>
  <sheetData>
    <row r="3" spans="1:17" x14ac:dyDescent="0.3">
      <c r="A3" s="8" t="s">
        <v>2007</v>
      </c>
      <c r="B3" t="s">
        <v>2006</v>
      </c>
      <c r="D3" s="8" t="s">
        <v>2007</v>
      </c>
      <c r="E3" t="s">
        <v>2009</v>
      </c>
      <c r="G3" s="8" t="s">
        <v>2007</v>
      </c>
      <c r="H3" t="s">
        <v>2010</v>
      </c>
    </row>
    <row r="4" spans="1:17" x14ac:dyDescent="0.3">
      <c r="A4" s="9" t="s">
        <v>8</v>
      </c>
      <c r="B4" s="40">
        <v>258</v>
      </c>
      <c r="D4" s="9" t="s">
        <v>8</v>
      </c>
      <c r="E4" s="10">
        <v>0.80406976744186021</v>
      </c>
      <c r="G4" s="9" t="s">
        <v>8</v>
      </c>
      <c r="H4" s="10">
        <v>0.43</v>
      </c>
      <c r="K4" t="s">
        <v>2022</v>
      </c>
      <c r="L4" s="13" t="s">
        <v>2002</v>
      </c>
      <c r="M4" s="14" t="s">
        <v>2001</v>
      </c>
      <c r="N4" s="14" t="s">
        <v>2000</v>
      </c>
      <c r="O4" s="14" t="s">
        <v>1999</v>
      </c>
      <c r="P4" s="14" t="s">
        <v>1998</v>
      </c>
      <c r="Q4" s="17" t="s">
        <v>1996</v>
      </c>
    </row>
    <row r="5" spans="1:17" x14ac:dyDescent="0.3">
      <c r="A5" s="9" t="s">
        <v>17</v>
      </c>
      <c r="B5" s="40">
        <v>230</v>
      </c>
      <c r="D5" s="9" t="s">
        <v>17</v>
      </c>
      <c r="E5" s="10">
        <v>0.80108695652173889</v>
      </c>
      <c r="G5" s="9" t="s">
        <v>17</v>
      </c>
      <c r="H5" s="10">
        <v>0.6</v>
      </c>
      <c r="K5" t="s">
        <v>2019</v>
      </c>
      <c r="L5" s="7">
        <f xml:space="preserve"> MAX(Table!D:D)</f>
        <v>1</v>
      </c>
      <c r="M5" s="5">
        <f xml:space="preserve"> MAX(Table!E:E)</f>
        <v>100</v>
      </c>
      <c r="N5" s="5">
        <f xml:space="preserve"> MAX(Table!F:F)</f>
        <v>100</v>
      </c>
      <c r="O5" s="5">
        <f xml:space="preserve"> MAX(Table!G:G)</f>
        <v>100</v>
      </c>
      <c r="P5" s="5">
        <f xml:space="preserve"> MAX(Table!H:H)</f>
        <v>100</v>
      </c>
      <c r="Q5" s="5">
        <f xml:space="preserve"> MAX(Table!J:J)</f>
        <v>97.65</v>
      </c>
    </row>
    <row r="6" spans="1:17" x14ac:dyDescent="0.3">
      <c r="A6" s="9" t="s">
        <v>0</v>
      </c>
      <c r="B6" s="40">
        <v>232</v>
      </c>
      <c r="D6" s="9" t="s">
        <v>0</v>
      </c>
      <c r="E6" s="10">
        <v>0.80211206896551679</v>
      </c>
      <c r="G6" s="9" t="s">
        <v>0</v>
      </c>
      <c r="H6" s="10">
        <v>0.21</v>
      </c>
      <c r="K6" t="s">
        <v>2020</v>
      </c>
      <c r="L6" s="15">
        <f xml:space="preserve"> MIN(Table!D:D)</f>
        <v>0.21</v>
      </c>
      <c r="M6">
        <f xml:space="preserve"> MIN(Table!E:E)</f>
        <v>40</v>
      </c>
      <c r="N6">
        <f xml:space="preserve"> MIN(Table!F:F)</f>
        <v>40</v>
      </c>
      <c r="O6">
        <f xml:space="preserve"> MIN(Table!G:G)</f>
        <v>40</v>
      </c>
      <c r="P6">
        <f xml:space="preserve"> MIN(Table!H:H)</f>
        <v>40</v>
      </c>
      <c r="Q6" s="5">
        <f xml:space="preserve"> MIN(Table!J:J)</f>
        <v>39.950000000000003</v>
      </c>
    </row>
    <row r="7" spans="1:17" x14ac:dyDescent="0.3">
      <c r="A7" s="9" t="s">
        <v>3</v>
      </c>
      <c r="B7" s="40">
        <v>280</v>
      </c>
      <c r="D7" s="9" t="s">
        <v>3</v>
      </c>
      <c r="E7" s="10">
        <v>0.79610714285714257</v>
      </c>
      <c r="G7" s="9" t="s">
        <v>3</v>
      </c>
      <c r="H7" s="10">
        <v>0.34</v>
      </c>
      <c r="K7" t="s">
        <v>2021</v>
      </c>
      <c r="L7" s="16">
        <f>(L5-L6)*100</f>
        <v>79</v>
      </c>
      <c r="M7">
        <f t="shared" ref="M7:P7" si="0">M5-M6</f>
        <v>60</v>
      </c>
      <c r="N7">
        <f t="shared" si="0"/>
        <v>60</v>
      </c>
      <c r="O7">
        <f t="shared" si="0"/>
        <v>60</v>
      </c>
      <c r="P7">
        <f t="shared" si="0"/>
        <v>60</v>
      </c>
      <c r="Q7" s="5">
        <f xml:space="preserve"> Q5-Q6</f>
        <v>57.7</v>
      </c>
    </row>
    <row r="8" spans="1:17" x14ac:dyDescent="0.3">
      <c r="A8" s="9" t="s">
        <v>2008</v>
      </c>
      <c r="B8" s="40">
        <v>1000</v>
      </c>
      <c r="D8" s="9" t="s">
        <v>2008</v>
      </c>
      <c r="E8" s="10">
        <v>0.80070000000000141</v>
      </c>
      <c r="G8" s="9" t="s">
        <v>2008</v>
      </c>
      <c r="H8" s="10">
        <v>0.21</v>
      </c>
      <c r="K8" t="s">
        <v>2023</v>
      </c>
      <c r="L8" s="16">
        <f>AVERAGE(Table!D:D)*100</f>
        <v>80.070000000000135</v>
      </c>
      <c r="M8" s="16">
        <f>AVERAGE(Table!E:E)</f>
        <v>69.316999999999993</v>
      </c>
      <c r="N8" s="16">
        <f>AVERAGE(Table!F:F)</f>
        <v>70.53</v>
      </c>
      <c r="O8" s="16">
        <f>AVERAGE(Table!G:G)</f>
        <v>70.319000000000003</v>
      </c>
      <c r="P8" s="16">
        <f>AVERAGE(Table!H:H)</f>
        <v>70.722999999999999</v>
      </c>
      <c r="Q8" s="5">
        <f xml:space="preserve"> AVERAGE(Table!J:J)</f>
        <v>70.709149999999994</v>
      </c>
    </row>
    <row r="9" spans="1:17" x14ac:dyDescent="0.3">
      <c r="K9" t="s">
        <v>2018</v>
      </c>
      <c r="L9">
        <f>MEDIAN(Table!D:D)*100</f>
        <v>81</v>
      </c>
      <c r="M9" s="5">
        <f>MEDIAN(Table!E:E)</f>
        <v>69</v>
      </c>
      <c r="N9" s="5">
        <f>MEDIAN(Table!F:F)</f>
        <v>70</v>
      </c>
      <c r="O9" s="5">
        <f>MEDIAN(Table!G:G)</f>
        <v>71</v>
      </c>
      <c r="P9" s="5">
        <f>MEDIAN(Table!H:H)</f>
        <v>71</v>
      </c>
      <c r="Q9" s="5">
        <f xml:space="preserve"> MEDIAN(Table!J:J)</f>
        <v>71.5</v>
      </c>
    </row>
    <row r="11" spans="1:17" x14ac:dyDescent="0.3">
      <c r="A11" s="8" t="s">
        <v>2016</v>
      </c>
      <c r="B11" s="8" t="s">
        <v>2024</v>
      </c>
      <c r="G11" s="11" t="s">
        <v>2007</v>
      </c>
      <c r="H11" s="5" t="s">
        <v>2017</v>
      </c>
    </row>
    <row r="12" spans="1:17" x14ac:dyDescent="0.3">
      <c r="A12" s="8" t="s">
        <v>2007</v>
      </c>
      <c r="B12" t="s">
        <v>8</v>
      </c>
      <c r="C12" t="s">
        <v>17</v>
      </c>
      <c r="D12" t="s">
        <v>0</v>
      </c>
      <c r="E12" t="s">
        <v>3</v>
      </c>
      <c r="F12" t="s">
        <v>2008</v>
      </c>
      <c r="G12" s="12" t="s">
        <v>8</v>
      </c>
      <c r="H12" s="5">
        <v>70.652906976744177</v>
      </c>
    </row>
    <row r="13" spans="1:17" x14ac:dyDescent="0.3">
      <c r="A13" s="9" t="s">
        <v>2011</v>
      </c>
      <c r="B13" s="40">
        <v>9</v>
      </c>
      <c r="C13" s="40">
        <v>9</v>
      </c>
      <c r="D13" s="40">
        <v>11</v>
      </c>
      <c r="E13" s="40">
        <v>4</v>
      </c>
      <c r="F13" s="40">
        <v>33</v>
      </c>
      <c r="G13" s="12" t="s">
        <v>17</v>
      </c>
      <c r="H13" s="5">
        <v>71.491521739130448</v>
      </c>
    </row>
    <row r="14" spans="1:17" x14ac:dyDescent="0.3">
      <c r="A14" s="9" t="s">
        <v>2012</v>
      </c>
      <c r="B14" s="40">
        <v>42</v>
      </c>
      <c r="C14" s="40">
        <v>43</v>
      </c>
      <c r="D14" s="40">
        <v>49</v>
      </c>
      <c r="E14" s="40">
        <v>55</v>
      </c>
      <c r="F14" s="40">
        <v>189</v>
      </c>
      <c r="G14" s="12" t="s">
        <v>0</v>
      </c>
      <c r="H14" s="5">
        <v>71.235775862068934</v>
      </c>
    </row>
    <row r="15" spans="1:17" x14ac:dyDescent="0.3">
      <c r="A15" s="9" t="s">
        <v>2013</v>
      </c>
      <c r="B15" s="40">
        <v>101</v>
      </c>
      <c r="C15" s="40">
        <v>77</v>
      </c>
      <c r="D15" s="40">
        <v>72</v>
      </c>
      <c r="E15" s="40">
        <v>85</v>
      </c>
      <c r="F15" s="40">
        <v>335</v>
      </c>
      <c r="G15" s="12" t="s">
        <v>3</v>
      </c>
      <c r="H15" s="5">
        <v>69.681964285714258</v>
      </c>
    </row>
    <row r="16" spans="1:17" x14ac:dyDescent="0.3">
      <c r="A16" s="9" t="s">
        <v>2014</v>
      </c>
      <c r="B16" s="40">
        <v>55</v>
      </c>
      <c r="C16" s="40">
        <v>68</v>
      </c>
      <c r="D16" s="40">
        <v>60</v>
      </c>
      <c r="E16" s="40">
        <v>72</v>
      </c>
      <c r="F16" s="40">
        <v>255</v>
      </c>
      <c r="G16" s="12" t="s">
        <v>2008</v>
      </c>
      <c r="H16" s="5">
        <v>70.709149999999994</v>
      </c>
    </row>
    <row r="17" spans="1:6" x14ac:dyDescent="0.3">
      <c r="A17" s="9" t="s">
        <v>2015</v>
      </c>
      <c r="B17" s="40">
        <v>51</v>
      </c>
      <c r="C17" s="40">
        <v>33</v>
      </c>
      <c r="D17" s="40">
        <v>40</v>
      </c>
      <c r="E17" s="40">
        <v>64</v>
      </c>
      <c r="F17" s="40">
        <v>188</v>
      </c>
    </row>
    <row r="18" spans="1:6" x14ac:dyDescent="0.3">
      <c r="A18" s="9" t="s">
        <v>2008</v>
      </c>
      <c r="B18" s="40">
        <v>258</v>
      </c>
      <c r="C18" s="40">
        <v>230</v>
      </c>
      <c r="D18" s="40">
        <v>232</v>
      </c>
      <c r="E18" s="40">
        <v>280</v>
      </c>
      <c r="F18" s="40">
        <v>1000</v>
      </c>
    </row>
  </sheetData>
  <conditionalFormatting sqref="L4">
    <cfRule type="expression" dxfId="13" priority="1">
      <formula>AND(L4 &lt; 0.7, L4 &lt;&gt; 0, NOT(ISBLANK(L4)))</formula>
    </cfRule>
  </conditionalFormatting>
  <pageMargins left="0.7" right="0.7" top="0.75" bottom="0.75" header="0.3" footer="0.3"/>
  <tableParts count="1">
    <tablePart r:id="rId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5293E-BE2B-48B8-A4E6-A21987446173}">
  <dimension ref="A1:V28"/>
  <sheetViews>
    <sheetView tabSelected="1" zoomScale="70" zoomScaleNormal="70" workbookViewId="0">
      <selection activeCell="U9" sqref="U9"/>
    </sheetView>
  </sheetViews>
  <sheetFormatPr defaultColWidth="12.6640625" defaultRowHeight="14.4" x14ac:dyDescent="0.3"/>
  <cols>
    <col min="1" max="1" width="23.5546875" style="23" bestFit="1" customWidth="1"/>
    <col min="2" max="2" width="9.33203125" style="23" bestFit="1" customWidth="1"/>
    <col min="3" max="3" width="8.88671875" style="23" bestFit="1" customWidth="1"/>
    <col min="4" max="4" width="10.21875" style="23" bestFit="1" customWidth="1"/>
    <col min="5" max="5" width="26.33203125" style="23" bestFit="1" customWidth="1"/>
    <col min="6" max="7" width="9.33203125" style="23" bestFit="1" customWidth="1"/>
    <col min="8" max="8" width="6" style="23" bestFit="1" customWidth="1"/>
    <col min="9" max="9" width="12.6640625" style="23"/>
    <col min="10" max="10" width="7.44140625" style="23" bestFit="1" customWidth="1"/>
    <col min="11" max="11" width="10.5546875" style="23" bestFit="1" customWidth="1"/>
    <col min="12" max="12" width="10.21875" style="23" bestFit="1" customWidth="1"/>
    <col min="13" max="16" width="12.6640625" style="23"/>
    <col min="17" max="17" width="7.6640625" style="23" bestFit="1" customWidth="1"/>
    <col min="18" max="18" width="11" style="23" bestFit="1" customWidth="1"/>
    <col min="19" max="19" width="10.5546875" style="23" bestFit="1" customWidth="1"/>
    <col min="20" max="16384" width="12.6640625" style="23"/>
  </cols>
  <sheetData>
    <row r="1" spans="1:22" x14ac:dyDescent="0.3">
      <c r="A1" s="36" t="s">
        <v>2037</v>
      </c>
      <c r="B1" s="37"/>
      <c r="C1" s="37"/>
      <c r="D1" s="37"/>
      <c r="E1" s="37"/>
      <c r="F1" s="37"/>
      <c r="G1" s="37"/>
      <c r="H1" s="37"/>
      <c r="I1" s="37"/>
      <c r="J1" s="37"/>
      <c r="K1" s="37"/>
      <c r="L1" s="37"/>
      <c r="M1" s="37"/>
      <c r="N1" s="37"/>
      <c r="O1" s="37"/>
      <c r="P1" s="37"/>
      <c r="Q1" s="37"/>
      <c r="R1" s="37"/>
      <c r="S1" s="37"/>
      <c r="T1" s="37"/>
      <c r="U1" s="37"/>
      <c r="V1" s="37"/>
    </row>
    <row r="2" spans="1:22" x14ac:dyDescent="0.3">
      <c r="A2" s="37"/>
      <c r="B2" s="37"/>
      <c r="C2" s="37"/>
      <c r="D2" s="37"/>
      <c r="E2" s="37"/>
      <c r="F2" s="37"/>
      <c r="G2" s="37"/>
      <c r="H2" s="37"/>
      <c r="I2" s="37"/>
      <c r="J2" s="37"/>
      <c r="K2" s="37"/>
      <c r="L2" s="37"/>
      <c r="M2" s="37"/>
      <c r="N2" s="37"/>
      <c r="O2" s="37"/>
      <c r="P2" s="37"/>
      <c r="Q2" s="37"/>
      <c r="R2" s="37"/>
      <c r="S2" s="37"/>
      <c r="T2" s="37"/>
      <c r="U2" s="37"/>
      <c r="V2" s="37"/>
    </row>
    <row r="3" spans="1:22" x14ac:dyDescent="0.3">
      <c r="A3" s="37"/>
      <c r="B3" s="37"/>
      <c r="C3" s="37"/>
      <c r="D3" s="37"/>
      <c r="E3" s="37"/>
      <c r="F3" s="37"/>
      <c r="G3" s="37"/>
      <c r="H3" s="37"/>
      <c r="I3" s="37"/>
      <c r="J3" s="37"/>
      <c r="K3" s="37"/>
      <c r="L3" s="37"/>
      <c r="M3" s="37"/>
      <c r="N3" s="37"/>
      <c r="O3" s="37"/>
      <c r="P3" s="37"/>
      <c r="Q3" s="37"/>
      <c r="R3" s="37"/>
      <c r="S3" s="37"/>
      <c r="T3" s="37"/>
      <c r="U3" s="37"/>
      <c r="V3" s="37"/>
    </row>
    <row r="4" spans="1:22" ht="36.6" x14ac:dyDescent="0.7">
      <c r="A4" s="24"/>
      <c r="B4" s="24"/>
      <c r="C4" s="24"/>
      <c r="D4" s="24"/>
      <c r="E4" s="24"/>
      <c r="F4" s="24"/>
      <c r="G4" s="24"/>
      <c r="H4" s="24"/>
      <c r="I4" s="24"/>
      <c r="J4" s="24"/>
      <c r="K4" s="24"/>
      <c r="L4" s="24"/>
      <c r="M4" s="24"/>
      <c r="N4" s="24"/>
      <c r="O4" s="24"/>
      <c r="P4" s="24"/>
      <c r="Q4" s="24"/>
      <c r="R4" s="24"/>
      <c r="S4" s="24"/>
      <c r="T4" s="24"/>
      <c r="U4" s="24"/>
      <c r="V4" s="24"/>
    </row>
    <row r="5" spans="1:22" ht="14.4" customHeight="1" x14ac:dyDescent="0.3">
      <c r="A5" s="35" t="s">
        <v>2032</v>
      </c>
      <c r="B5" s="35"/>
      <c r="C5" s="35"/>
      <c r="E5" s="35" t="s">
        <v>2034</v>
      </c>
      <c r="F5" s="35"/>
      <c r="G5" s="35"/>
      <c r="I5" s="35" t="s">
        <v>2035</v>
      </c>
      <c r="J5" s="35"/>
      <c r="K5" s="35"/>
      <c r="L5" s="35"/>
      <c r="N5" s="35" t="s">
        <v>2036</v>
      </c>
      <c r="O5" s="35"/>
      <c r="P5" s="35"/>
      <c r="Q5" s="35"/>
    </row>
    <row r="6" spans="1:22" ht="15" customHeight="1" x14ac:dyDescent="0.3">
      <c r="A6" s="35"/>
      <c r="B6" s="35"/>
      <c r="C6" s="35"/>
      <c r="E6" s="35"/>
      <c r="F6" s="35"/>
      <c r="G6" s="35"/>
      <c r="I6" s="35"/>
      <c r="J6" s="35"/>
      <c r="K6" s="35"/>
      <c r="L6" s="35"/>
      <c r="N6" s="35"/>
      <c r="O6" s="35"/>
      <c r="P6" s="35"/>
      <c r="Q6" s="35"/>
    </row>
    <row r="7" spans="1:22" ht="14.4" customHeight="1" x14ac:dyDescent="0.3">
      <c r="A7" s="39">
        <f>AVERAGEIFS(Table!J:J, Table!L:L, 1)</f>
        <v>70.709149999999994</v>
      </c>
      <c r="B7" s="39"/>
      <c r="C7" s="39"/>
      <c r="E7" s="38">
        <f>AVERAGEIFS(Table!D:D, Table!L:L, 1)</f>
        <v>0.80070000000000141</v>
      </c>
      <c r="F7" s="38"/>
      <c r="G7" s="38"/>
      <c r="I7" s="34">
        <f>_xlfn.MAXIFS(Table!J:J, Table!L:L, 1)</f>
        <v>97.65</v>
      </c>
      <c r="J7" s="34"/>
      <c r="K7" s="34"/>
      <c r="L7" s="34"/>
      <c r="N7" s="34">
        <f>_xlfn.MINIFS(Table!J:J, Table!L:L, 1)</f>
        <v>39.950000000000003</v>
      </c>
      <c r="O7" s="34"/>
      <c r="P7" s="34"/>
      <c r="Q7" s="34"/>
    </row>
    <row r="8" spans="1:22" ht="14.4" customHeight="1" x14ac:dyDescent="0.3">
      <c r="A8" s="39"/>
      <c r="B8" s="39"/>
      <c r="C8" s="39"/>
      <c r="E8" s="38"/>
      <c r="F8" s="38"/>
      <c r="G8" s="38"/>
      <c r="I8" s="34"/>
      <c r="J8" s="34"/>
      <c r="K8" s="34"/>
      <c r="L8" s="34"/>
      <c r="N8" s="34"/>
      <c r="O8" s="34"/>
      <c r="P8" s="34"/>
      <c r="Q8" s="34"/>
      <c r="R8" s="25"/>
      <c r="S8" s="25"/>
    </row>
    <row r="9" spans="1:22" ht="14.4" customHeight="1" x14ac:dyDescent="0.3">
      <c r="A9" s="39"/>
      <c r="B9" s="39"/>
      <c r="C9" s="39"/>
      <c r="E9" s="38"/>
      <c r="F9" s="38"/>
      <c r="G9" s="38"/>
      <c r="I9" s="34"/>
      <c r="J9" s="34"/>
      <c r="K9" s="34"/>
      <c r="L9" s="34"/>
      <c r="N9" s="34"/>
      <c r="O9" s="34"/>
      <c r="P9" s="34"/>
      <c r="Q9" s="34"/>
      <c r="R9" s="26"/>
      <c r="S9" s="27"/>
    </row>
    <row r="10" spans="1:22" ht="15" customHeight="1" x14ac:dyDescent="0.3">
      <c r="A10" s="39"/>
      <c r="B10" s="39"/>
      <c r="C10" s="39"/>
      <c r="E10" s="38"/>
      <c r="F10" s="38"/>
      <c r="G10" s="38"/>
      <c r="I10" s="34"/>
      <c r="J10" s="34"/>
      <c r="K10" s="34"/>
      <c r="L10" s="34"/>
      <c r="N10" s="34"/>
      <c r="O10" s="34"/>
      <c r="P10" s="34"/>
      <c r="Q10" s="34"/>
      <c r="R10" s="26"/>
      <c r="S10" s="27"/>
    </row>
    <row r="11" spans="1:22" x14ac:dyDescent="0.3">
      <c r="Q11" s="27"/>
      <c r="R11" s="26"/>
      <c r="S11" s="28"/>
    </row>
    <row r="13" spans="1:22" x14ac:dyDescent="0.3">
      <c r="G13" s="29"/>
    </row>
    <row r="17" spans="1:7" ht="23.4" x14ac:dyDescent="0.45">
      <c r="A17" s="33" t="s">
        <v>2028</v>
      </c>
      <c r="B17" s="33" t="s">
        <v>2003</v>
      </c>
      <c r="C17" s="33" t="s">
        <v>2027</v>
      </c>
      <c r="D17" s="30"/>
      <c r="E17" s="33" t="s">
        <v>2033</v>
      </c>
      <c r="F17" s="33" t="s">
        <v>2003</v>
      </c>
      <c r="G17" s="33" t="s">
        <v>2031</v>
      </c>
    </row>
    <row r="18" spans="1:7" ht="18" x14ac:dyDescent="0.3">
      <c r="D18" s="31"/>
    </row>
    <row r="19" spans="1:7" ht="18" x14ac:dyDescent="0.3">
      <c r="A19" s="32" t="str" cm="1">
        <f t="array" ref="A19:C28">_xlfn.ANCHORARRAY(Helper!K4)</f>
        <v>Dr. Lisa Stevens</v>
      </c>
      <c r="B19" s="32" t="str">
        <v>Class D</v>
      </c>
      <c r="C19" s="32">
        <v>97.65</v>
      </c>
      <c r="D19" s="31"/>
      <c r="E19" s="32" t="str" cm="1">
        <f t="array" ref="E19:G28">_xlfn.ANCHORARRAY(Helper!O4)</f>
        <v>Randall Rogers</v>
      </c>
      <c r="F19" s="32" t="str">
        <v>Class A</v>
      </c>
      <c r="G19" s="32">
        <v>39.950000000000003</v>
      </c>
    </row>
    <row r="20" spans="1:7" ht="18" x14ac:dyDescent="0.3">
      <c r="A20" s="32" t="str">
        <v>John Roberts</v>
      </c>
      <c r="B20" s="32" t="str">
        <v>Class B</v>
      </c>
      <c r="C20" s="32">
        <v>95.499999999999986</v>
      </c>
      <c r="D20" s="31"/>
      <c r="E20" s="32" t="str">
        <v>Erin Owens</v>
      </c>
      <c r="F20" s="32" t="str">
        <v>Class A</v>
      </c>
      <c r="G20" s="32">
        <v>42.95</v>
      </c>
    </row>
    <row r="21" spans="1:7" ht="18" x14ac:dyDescent="0.3">
      <c r="A21" s="32" t="str">
        <v>Peter Ferguson</v>
      </c>
      <c r="B21" s="32" t="str">
        <v>Class C</v>
      </c>
      <c r="C21" s="32">
        <v>95.45</v>
      </c>
      <c r="D21" s="31"/>
      <c r="E21" s="32" t="str">
        <v>Nicole Matthews</v>
      </c>
      <c r="F21" s="32" t="str">
        <v>Class D</v>
      </c>
      <c r="G21" s="32">
        <v>43.449999999999996</v>
      </c>
    </row>
    <row r="22" spans="1:7" ht="18" x14ac:dyDescent="0.3">
      <c r="A22" s="32" t="str">
        <v>Elizabeth Lewis</v>
      </c>
      <c r="B22" s="32" t="str">
        <v>Class A</v>
      </c>
      <c r="C22" s="32">
        <v>95.1</v>
      </c>
      <c r="D22" s="31"/>
      <c r="E22" s="32" t="str">
        <v>Samantha Miller</v>
      </c>
      <c r="F22" s="32" t="str">
        <v>Class D</v>
      </c>
      <c r="G22" s="32">
        <v>44.05</v>
      </c>
    </row>
    <row r="23" spans="1:7" ht="18" x14ac:dyDescent="0.3">
      <c r="A23" s="32" t="str">
        <v>Jose Fuller</v>
      </c>
      <c r="B23" s="32" t="str">
        <v>Class B</v>
      </c>
      <c r="C23" s="32">
        <v>94.95</v>
      </c>
      <c r="D23" s="31"/>
      <c r="E23" s="32" t="str">
        <v>Desiree White</v>
      </c>
      <c r="F23" s="32" t="str">
        <v>Class B</v>
      </c>
      <c r="G23" s="32">
        <v>44.400000000000006</v>
      </c>
    </row>
    <row r="24" spans="1:7" ht="18" x14ac:dyDescent="0.3">
      <c r="A24" s="32" t="str">
        <v>Patrick Davidson Jr.</v>
      </c>
      <c r="B24" s="32" t="str">
        <v>Class B</v>
      </c>
      <c r="C24" s="32">
        <v>94.5</v>
      </c>
      <c r="D24" s="31"/>
      <c r="E24" s="32" t="str">
        <v>Brendan Edwards</v>
      </c>
      <c r="F24" s="32" t="str">
        <v>Class D</v>
      </c>
      <c r="G24" s="32">
        <v>44.650000000000006</v>
      </c>
    </row>
    <row r="25" spans="1:7" ht="18" x14ac:dyDescent="0.3">
      <c r="A25" s="32" t="str">
        <v>Jason Zimmerman</v>
      </c>
      <c r="B25" s="32" t="str">
        <v>Class D</v>
      </c>
      <c r="C25" s="32">
        <v>94.15</v>
      </c>
      <c r="D25" s="31"/>
      <c r="E25" s="32" t="str">
        <v>Austin Cruz</v>
      </c>
      <c r="F25" s="32" t="str">
        <v>Class A</v>
      </c>
      <c r="G25" s="32">
        <v>44.900000000000006</v>
      </c>
    </row>
    <row r="26" spans="1:7" ht="18" x14ac:dyDescent="0.3">
      <c r="A26" s="32" t="str">
        <v>Carly Dodson</v>
      </c>
      <c r="B26" s="32" t="str">
        <v>Class B</v>
      </c>
      <c r="C26" s="32">
        <v>94.05</v>
      </c>
      <c r="D26" s="31"/>
      <c r="E26" s="32" t="str">
        <v>Molly Martinez</v>
      </c>
      <c r="F26" s="32" t="str">
        <v>Class B</v>
      </c>
      <c r="G26" s="32">
        <v>45.35</v>
      </c>
    </row>
    <row r="27" spans="1:7" ht="18" x14ac:dyDescent="0.3">
      <c r="A27" s="32" t="str">
        <v>Steven Colon</v>
      </c>
      <c r="B27" s="32" t="str">
        <v>Class C</v>
      </c>
      <c r="C27" s="32">
        <v>93.800000000000011</v>
      </c>
      <c r="D27" s="31"/>
      <c r="E27" s="32" t="str">
        <v>James Sexton</v>
      </c>
      <c r="F27" s="32" t="str">
        <v>Class C</v>
      </c>
      <c r="G27" s="32">
        <v>45.849999999999994</v>
      </c>
    </row>
    <row r="28" spans="1:7" ht="18" x14ac:dyDescent="0.3">
      <c r="A28" s="32" t="str">
        <v>Margaret Spencer</v>
      </c>
      <c r="B28" s="32" t="str">
        <v>Class B</v>
      </c>
      <c r="C28" s="32">
        <v>93.75</v>
      </c>
      <c r="D28" s="31"/>
      <c r="E28" s="32" t="str">
        <v>Charles Williams</v>
      </c>
      <c r="F28" s="32" t="str">
        <v>Class D</v>
      </c>
      <c r="G28" s="32">
        <v>46.3</v>
      </c>
    </row>
  </sheetData>
  <sheetProtection sheet="1" objects="1" scenarios="1" pivotTables="0"/>
  <mergeCells count="9">
    <mergeCell ref="I7:L10"/>
    <mergeCell ref="N5:Q6"/>
    <mergeCell ref="N7:Q10"/>
    <mergeCell ref="A1:V3"/>
    <mergeCell ref="E5:G6"/>
    <mergeCell ref="E7:G10"/>
    <mergeCell ref="I5:L6"/>
    <mergeCell ref="A5:C6"/>
    <mergeCell ref="A7:C10"/>
  </mergeCells>
  <conditionalFormatting sqref="C19:C28">
    <cfRule type="dataBar" priority="2">
      <dataBar>
        <cfvo type="min"/>
        <cfvo type="max"/>
        <color rgb="FF638EC6"/>
      </dataBar>
      <extLst>
        <ext xmlns:x14="http://schemas.microsoft.com/office/spreadsheetml/2009/9/main" uri="{B025F937-C7B1-47D3-B67F-A62EFF666E3E}">
          <x14:id>{4C74B238-3BBC-4B38-BF15-D59A4CEA6E18}</x14:id>
        </ext>
      </extLst>
    </cfRule>
  </conditionalFormatting>
  <conditionalFormatting sqref="G19:G28">
    <cfRule type="dataBar" priority="1">
      <dataBar>
        <cfvo type="min"/>
        <cfvo type="max"/>
        <color rgb="FFFF555A"/>
      </dataBar>
      <extLst>
        <ext xmlns:x14="http://schemas.microsoft.com/office/spreadsheetml/2009/9/main" uri="{B025F937-C7B1-47D3-B67F-A62EFF666E3E}">
          <x14:id>{D615CE36-2C49-4BA5-A387-EFC2FA27B903}</x14:id>
        </ext>
      </extLst>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83" r:id="rId3" name="Drop Down 11">
              <controlPr locked="0" defaultSize="0" autoLine="0" autoPict="0">
                <anchor>
                  <from>
                    <xdr:col>19</xdr:col>
                    <xdr:colOff>220980</xdr:colOff>
                    <xdr:row>5</xdr:row>
                    <xdr:rowOff>22860</xdr:rowOff>
                  </from>
                  <to>
                    <xdr:col>21</xdr:col>
                    <xdr:colOff>601980</xdr:colOff>
                    <xdr:row>6</xdr:row>
                    <xdr:rowOff>160020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4C74B238-3BBC-4B38-BF15-D59A4CEA6E18}">
            <x14:dataBar minLength="0" maxLength="100" border="1" negativeBarBorderColorSameAsPositive="0">
              <x14:cfvo type="autoMin"/>
              <x14:cfvo type="autoMax"/>
              <x14:borderColor rgb="FF638EC6"/>
              <x14:negativeFillColor rgb="FFFF0000"/>
              <x14:negativeBorderColor rgb="FFFF0000"/>
              <x14:axisColor rgb="FF000000"/>
            </x14:dataBar>
          </x14:cfRule>
          <xm:sqref>C19:C28</xm:sqref>
        </x14:conditionalFormatting>
        <x14:conditionalFormatting xmlns:xm="http://schemas.microsoft.com/office/excel/2006/main">
          <x14:cfRule type="dataBar" id="{D615CE36-2C49-4BA5-A387-EFC2FA27B903}">
            <x14:dataBar minLength="0" maxLength="100" border="1" negativeBarBorderColorSameAsPositive="0">
              <x14:cfvo type="autoMin"/>
              <x14:cfvo type="autoMax"/>
              <x14:borderColor rgb="FFFF555A"/>
              <x14:negativeFillColor rgb="FFFF0000"/>
              <x14:negativeBorderColor rgb="FFFF0000"/>
              <x14:axisColor rgb="FF000000"/>
            </x14:dataBar>
          </x14:cfRule>
          <xm:sqref>G19:G28</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DCA6-973A-495A-BF22-DE977B46047E}">
  <dimension ref="A2:Q13"/>
  <sheetViews>
    <sheetView workbookViewId="0">
      <selection activeCell="O3" sqref="O3"/>
    </sheetView>
  </sheetViews>
  <sheetFormatPr defaultRowHeight="14.4" x14ac:dyDescent="0.3"/>
  <sheetData>
    <row r="2" spans="1:17" x14ac:dyDescent="0.3">
      <c r="A2" t="s">
        <v>2025</v>
      </c>
    </row>
    <row r="3" spans="1:17" x14ac:dyDescent="0.3">
      <c r="A3" t="s">
        <v>8</v>
      </c>
      <c r="C3">
        <v>1</v>
      </c>
      <c r="E3" t="str" cm="1">
        <f t="array" ref="E3">INDEX($A$2:$A$6, $C$3)</f>
        <v>All</v>
      </c>
      <c r="K3" t="s">
        <v>2029</v>
      </c>
      <c r="O3" t="s">
        <v>2030</v>
      </c>
    </row>
    <row r="4" spans="1:17" x14ac:dyDescent="0.3">
      <c r="A4" t="s">
        <v>17</v>
      </c>
      <c r="K4" t="str" cm="1">
        <f t="array" ref="K4:M13">INDEX(_xlfn.SORTBY(_xlfn._xlws.FILTER(Table!B:J,Table!L:L=1),_xlfn._xlws.FILTER(Table!J:J,Table!L:L=1),-1,_xlfn._xlws.FILTER(Table!D:D,Table!L:L=1),-1),_xlfn.SEQUENCE(10),{1,2,9})</f>
        <v>Dr. Lisa Stevens</v>
      </c>
      <c r="L4" t="str">
        <v>Class D</v>
      </c>
      <c r="M4">
        <v>97.65</v>
      </c>
      <c r="O4" t="str" cm="1">
        <f t="array" ref="O4:Q13">INDEX(_xlfn.SORTBY(_xlfn._xlws.FILTER(Table!B:J,Table!L:L=1),_xlfn._xlws.FILTER(Table!J:J,Table!L:L=1),1,_xlfn._xlws.FILTER(Table!D:D,Table!L:L=1),-1),_xlfn.SEQUENCE(10),{1,2,9})</f>
        <v>Randall Rogers</v>
      </c>
      <c r="P4" t="str">
        <v>Class A</v>
      </c>
      <c r="Q4">
        <v>39.950000000000003</v>
      </c>
    </row>
    <row r="5" spans="1:17" x14ac:dyDescent="0.3">
      <c r="A5" t="s">
        <v>0</v>
      </c>
      <c r="K5" t="str">
        <v>John Roberts</v>
      </c>
      <c r="L5" t="str">
        <v>Class B</v>
      </c>
      <c r="M5">
        <v>95.499999999999986</v>
      </c>
      <c r="O5" t="str">
        <v>Erin Owens</v>
      </c>
      <c r="P5" t="str">
        <v>Class A</v>
      </c>
      <c r="Q5">
        <v>42.95</v>
      </c>
    </row>
    <row r="6" spans="1:17" x14ac:dyDescent="0.3">
      <c r="A6" t="s">
        <v>3</v>
      </c>
      <c r="K6" t="str">
        <v>Peter Ferguson</v>
      </c>
      <c r="L6" t="str">
        <v>Class C</v>
      </c>
      <c r="M6">
        <v>95.45</v>
      </c>
      <c r="O6" t="str">
        <v>Nicole Matthews</v>
      </c>
      <c r="P6" t="str">
        <v>Class D</v>
      </c>
      <c r="Q6">
        <v>43.449999999999996</v>
      </c>
    </row>
    <row r="7" spans="1:17" x14ac:dyDescent="0.3">
      <c r="K7" t="str">
        <v>Elizabeth Lewis</v>
      </c>
      <c r="L7" t="str">
        <v>Class A</v>
      </c>
      <c r="M7">
        <v>95.1</v>
      </c>
      <c r="O7" t="str">
        <v>Samantha Miller</v>
      </c>
      <c r="P7" t="str">
        <v>Class D</v>
      </c>
      <c r="Q7">
        <v>44.05</v>
      </c>
    </row>
    <row r="8" spans="1:17" x14ac:dyDescent="0.3">
      <c r="K8" t="str">
        <v>Jose Fuller</v>
      </c>
      <c r="L8" t="str">
        <v>Class B</v>
      </c>
      <c r="M8">
        <v>94.95</v>
      </c>
      <c r="O8" t="str">
        <v>Desiree White</v>
      </c>
      <c r="P8" t="str">
        <v>Class B</v>
      </c>
      <c r="Q8">
        <v>44.400000000000006</v>
      </c>
    </row>
    <row r="9" spans="1:17" x14ac:dyDescent="0.3">
      <c r="K9" t="str">
        <v>Patrick Davidson Jr.</v>
      </c>
      <c r="L9" t="str">
        <v>Class B</v>
      </c>
      <c r="M9">
        <v>94.5</v>
      </c>
      <c r="O9" t="str">
        <v>Brendan Edwards</v>
      </c>
      <c r="P9" t="str">
        <v>Class D</v>
      </c>
      <c r="Q9">
        <v>44.650000000000006</v>
      </c>
    </row>
    <row r="10" spans="1:17" x14ac:dyDescent="0.3">
      <c r="K10" t="str">
        <v>Jason Zimmerman</v>
      </c>
      <c r="L10" t="str">
        <v>Class D</v>
      </c>
      <c r="M10">
        <v>94.15</v>
      </c>
      <c r="O10" t="str">
        <v>Austin Cruz</v>
      </c>
      <c r="P10" t="str">
        <v>Class A</v>
      </c>
      <c r="Q10">
        <v>44.900000000000006</v>
      </c>
    </row>
    <row r="11" spans="1:17" x14ac:dyDescent="0.3">
      <c r="K11" t="str">
        <v>Carly Dodson</v>
      </c>
      <c r="L11" t="str">
        <v>Class B</v>
      </c>
      <c r="M11">
        <v>94.05</v>
      </c>
      <c r="O11" t="str">
        <v>Molly Martinez</v>
      </c>
      <c r="P11" t="str">
        <v>Class B</v>
      </c>
      <c r="Q11">
        <v>45.35</v>
      </c>
    </row>
    <row r="12" spans="1:17" x14ac:dyDescent="0.3">
      <c r="K12" t="str">
        <v>Steven Colon</v>
      </c>
      <c r="L12" t="str">
        <v>Class C</v>
      </c>
      <c r="M12">
        <v>93.800000000000011</v>
      </c>
      <c r="O12" t="str">
        <v>James Sexton</v>
      </c>
      <c r="P12" t="str">
        <v>Class C</v>
      </c>
      <c r="Q12">
        <v>45.849999999999994</v>
      </c>
    </row>
    <row r="13" spans="1:17" x14ac:dyDescent="0.3">
      <c r="K13" t="str">
        <v>Margaret Spencer</v>
      </c>
      <c r="L13" t="str">
        <v>Class B</v>
      </c>
      <c r="M13">
        <v>93.75</v>
      </c>
      <c r="O13" t="str">
        <v>Charles Williams</v>
      </c>
      <c r="P13" t="str">
        <v>Class D</v>
      </c>
      <c r="Q13">
        <v>46.3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0005-1B91-4167-805A-3AEA3C6C2E37}">
  <dimension ref="A1:L1004"/>
  <sheetViews>
    <sheetView workbookViewId="0">
      <selection activeCell="V7" sqref="V7"/>
    </sheetView>
  </sheetViews>
  <sheetFormatPr defaultColWidth="8" defaultRowHeight="14.4" x14ac:dyDescent="0.3"/>
  <cols>
    <col min="1" max="1" width="12.33203125" bestFit="1" customWidth="1"/>
    <col min="2" max="2" width="21.33203125" bestFit="1" customWidth="1"/>
    <col min="3" max="3" width="7.77734375" bestFit="1" customWidth="1"/>
    <col min="4" max="4" width="23.109375" style="2" bestFit="1" customWidth="1"/>
    <col min="5" max="6" width="14.6640625" bestFit="1" customWidth="1"/>
    <col min="7" max="7" width="16" bestFit="1" customWidth="1"/>
    <col min="8" max="8" width="18.33203125" bestFit="1" customWidth="1"/>
    <col min="9" max="9" width="21.77734375" bestFit="1" customWidth="1"/>
    <col min="10" max="10" width="12.44140625" bestFit="1" customWidth="1"/>
    <col min="11" max="11" width="6.109375" style="1" bestFit="1" customWidth="1"/>
    <col min="12" max="12" width="10.109375" hidden="1" customWidth="1"/>
  </cols>
  <sheetData>
    <row r="1" spans="1:12" ht="25.8" customHeight="1" x14ac:dyDescent="0.3">
      <c r="A1" s="18" t="s">
        <v>2005</v>
      </c>
      <c r="B1" s="18" t="s">
        <v>2004</v>
      </c>
      <c r="C1" s="18" t="s">
        <v>2003</v>
      </c>
      <c r="D1" s="19" t="s">
        <v>2002</v>
      </c>
      <c r="E1" s="20" t="s">
        <v>2001</v>
      </c>
      <c r="F1" s="20" t="s">
        <v>2000</v>
      </c>
      <c r="G1" s="20" t="s">
        <v>1999</v>
      </c>
      <c r="H1" s="20" t="s">
        <v>1998</v>
      </c>
      <c r="I1" s="21" t="s">
        <v>1997</v>
      </c>
      <c r="J1" s="22" t="s">
        <v>1996</v>
      </c>
      <c r="K1" s="18" t="s">
        <v>1995</v>
      </c>
      <c r="L1" t="s">
        <v>2026</v>
      </c>
    </row>
    <row r="2" spans="1:12" x14ac:dyDescent="0.3">
      <c r="A2" s="3" t="s">
        <v>1994</v>
      </c>
      <c r="B2" s="3" t="s">
        <v>1993</v>
      </c>
      <c r="C2" s="3" t="s">
        <v>0</v>
      </c>
      <c r="D2" s="7">
        <v>0.76</v>
      </c>
      <c r="E2" s="5">
        <v>90</v>
      </c>
      <c r="F2" s="5">
        <v>96</v>
      </c>
      <c r="G2" s="5">
        <v>100</v>
      </c>
      <c r="H2" s="5">
        <v>74</v>
      </c>
      <c r="I2" s="6" t="str">
        <f>IF(H2&gt;G2*1.15,H2-G2,IF(H2&lt;G2*0.65,H2-G2,""))</f>
        <v/>
      </c>
      <c r="J2">
        <f>IF(ISBLANK(D2),"",IF(D2&gt;0.7,10,0)+(E2/100*5)+(F2/100*5)+(G2/100*40)+(H2/100*40))</f>
        <v>88.9</v>
      </c>
      <c r="K2" s="4" t="str">
        <f t="shared" ref="K2:K65" si="0">IF(J2&gt;=90,"A",IF(J2&gt;=80,"B",IF(J2&gt;=70,"C",IF(J2&gt;=60,"D","F"))))</f>
        <v>B</v>
      </c>
      <c r="L2">
        <f>IF(Helper!$E$3="All",1,IF(C2=Helper!$E$3,1,0))</f>
        <v>1</v>
      </c>
    </row>
    <row r="3" spans="1:12" x14ac:dyDescent="0.3">
      <c r="A3" s="3" t="s">
        <v>1992</v>
      </c>
      <c r="B3" s="3" t="s">
        <v>1991</v>
      </c>
      <c r="C3" s="3" t="s">
        <v>3</v>
      </c>
      <c r="D3" s="7">
        <v>0.68</v>
      </c>
      <c r="E3" s="5">
        <v>63</v>
      </c>
      <c r="F3" s="5">
        <v>62</v>
      </c>
      <c r="G3" s="5">
        <v>87</v>
      </c>
      <c r="H3" s="5">
        <v>88</v>
      </c>
      <c r="I3" s="6" t="str">
        <f t="shared" ref="I3:I65" si="1">IF(H3&gt;G3*1.15,H3-G3,IF(H3&lt;G3*0.65,H3-G3,""))</f>
        <v/>
      </c>
      <c r="J3">
        <f t="shared" ref="J3:J65" si="2">IF(ISBLANK(D3),"",IF(D3&gt;0.7,10,0)+(E3/100*5)+(F3/100*5)+(G3/100*40)+(H3/100*40))</f>
        <v>76.25</v>
      </c>
      <c r="K3" s="4" t="str">
        <f t="shared" si="0"/>
        <v>C</v>
      </c>
      <c r="L3">
        <f>IF(Helper!$E$3="All",1,IF(C3=Helper!$E$3,1,0))</f>
        <v>1</v>
      </c>
    </row>
    <row r="4" spans="1:12" x14ac:dyDescent="0.3">
      <c r="A4" s="3" t="s">
        <v>1990</v>
      </c>
      <c r="B4" s="3" t="s">
        <v>1989</v>
      </c>
      <c r="C4" s="3" t="s">
        <v>8</v>
      </c>
      <c r="D4" s="7">
        <v>0.92</v>
      </c>
      <c r="E4" s="5">
        <v>80</v>
      </c>
      <c r="F4" s="5">
        <v>82</v>
      </c>
      <c r="G4" s="5">
        <v>72</v>
      </c>
      <c r="H4" s="5">
        <v>78</v>
      </c>
      <c r="I4" s="6" t="str">
        <f t="shared" si="1"/>
        <v/>
      </c>
      <c r="J4">
        <f t="shared" si="2"/>
        <v>78.099999999999994</v>
      </c>
      <c r="K4" s="4" t="str">
        <f t="shared" si="0"/>
        <v>C</v>
      </c>
      <c r="L4">
        <f>IF(Helper!$E$3="All",1,IF(C4=Helper!$E$3,1,0))</f>
        <v>1</v>
      </c>
    </row>
    <row r="5" spans="1:12" x14ac:dyDescent="0.3">
      <c r="A5" s="3" t="s">
        <v>1988</v>
      </c>
      <c r="B5" s="3" t="s">
        <v>1987</v>
      </c>
      <c r="C5" s="3" t="s">
        <v>0</v>
      </c>
      <c r="D5" s="7">
        <v>0.79</v>
      </c>
      <c r="E5" s="5">
        <v>56</v>
      </c>
      <c r="F5" s="5">
        <v>40</v>
      </c>
      <c r="G5" s="5">
        <v>84</v>
      </c>
      <c r="H5" s="5">
        <v>66</v>
      </c>
      <c r="I5" s="6" t="str">
        <f t="shared" si="1"/>
        <v/>
      </c>
      <c r="J5">
        <f t="shared" si="2"/>
        <v>74.800000000000011</v>
      </c>
      <c r="K5" s="4" t="str">
        <f t="shared" si="0"/>
        <v>C</v>
      </c>
      <c r="L5">
        <f>IF(Helper!$E$3="All",1,IF(C5=Helper!$E$3,1,0))</f>
        <v>1</v>
      </c>
    </row>
    <row r="6" spans="1:12" x14ac:dyDescent="0.3">
      <c r="A6" s="3" t="s">
        <v>1986</v>
      </c>
      <c r="B6" s="3" t="s">
        <v>1985</v>
      </c>
      <c r="C6" s="3" t="s">
        <v>0</v>
      </c>
      <c r="D6" s="7">
        <v>0.72</v>
      </c>
      <c r="E6" s="5">
        <v>51</v>
      </c>
      <c r="F6" s="5">
        <v>84</v>
      </c>
      <c r="G6" s="5">
        <v>65</v>
      </c>
      <c r="H6" s="5">
        <v>65</v>
      </c>
      <c r="I6" s="6" t="str">
        <f t="shared" si="1"/>
        <v/>
      </c>
      <c r="J6">
        <f t="shared" si="2"/>
        <v>68.75</v>
      </c>
      <c r="K6" s="4" t="str">
        <f t="shared" si="0"/>
        <v>D</v>
      </c>
      <c r="L6">
        <f>IF(Helper!$E$3="All",1,IF(C6=Helper!$E$3,1,0))</f>
        <v>1</v>
      </c>
    </row>
    <row r="7" spans="1:12" x14ac:dyDescent="0.3">
      <c r="A7" s="3" t="s">
        <v>1984</v>
      </c>
      <c r="B7" s="3" t="s">
        <v>1983</v>
      </c>
      <c r="C7" s="3" t="s">
        <v>3</v>
      </c>
      <c r="D7" s="7">
        <v>0.87</v>
      </c>
      <c r="E7" s="5">
        <v>96</v>
      </c>
      <c r="F7" s="5">
        <v>90</v>
      </c>
      <c r="G7" s="5">
        <v>78</v>
      </c>
      <c r="H7" s="5">
        <v>53</v>
      </c>
      <c r="I7" s="6" t="str">
        <f t="shared" si="1"/>
        <v/>
      </c>
      <c r="J7">
        <f t="shared" si="2"/>
        <v>71.7</v>
      </c>
      <c r="K7" s="4" t="str">
        <f t="shared" si="0"/>
        <v>C</v>
      </c>
      <c r="L7">
        <f>IF(Helper!$E$3="All",1,IF(C7=Helper!$E$3,1,0))</f>
        <v>1</v>
      </c>
    </row>
    <row r="8" spans="1:12" x14ac:dyDescent="0.3">
      <c r="A8" s="3" t="s">
        <v>1982</v>
      </c>
      <c r="B8" s="3" t="s">
        <v>1981</v>
      </c>
      <c r="C8" s="3" t="s">
        <v>8</v>
      </c>
      <c r="D8" s="7">
        <v>0.88</v>
      </c>
      <c r="E8" s="5">
        <v>85</v>
      </c>
      <c r="F8" s="5">
        <v>63</v>
      </c>
      <c r="G8" s="5">
        <v>67</v>
      </c>
      <c r="H8" s="5">
        <v>56</v>
      </c>
      <c r="I8" s="6" t="str">
        <f t="shared" si="1"/>
        <v/>
      </c>
      <c r="J8">
        <f t="shared" si="2"/>
        <v>66.600000000000009</v>
      </c>
      <c r="K8" s="4" t="str">
        <f t="shared" si="0"/>
        <v>D</v>
      </c>
      <c r="L8">
        <f>IF(Helper!$E$3="All",1,IF(C8=Helper!$E$3,1,0))</f>
        <v>1</v>
      </c>
    </row>
    <row r="9" spans="1:12" x14ac:dyDescent="0.3">
      <c r="A9" s="3" t="s">
        <v>1980</v>
      </c>
      <c r="B9" s="3" t="s">
        <v>1979</v>
      </c>
      <c r="C9" s="3" t="s">
        <v>8</v>
      </c>
      <c r="D9" s="7">
        <v>0.72</v>
      </c>
      <c r="E9" s="5">
        <v>71</v>
      </c>
      <c r="F9" s="5">
        <v>74</v>
      </c>
      <c r="G9" s="5">
        <v>97</v>
      </c>
      <c r="H9" s="5">
        <v>57</v>
      </c>
      <c r="I9" s="6">
        <f>IF(H9&gt;G9*1.15,H9-G9,IF(H9&lt;G9*0.65,H9-G9,""))</f>
        <v>-40</v>
      </c>
      <c r="J9">
        <f t="shared" si="2"/>
        <v>78.849999999999994</v>
      </c>
      <c r="K9" s="4" t="str">
        <f t="shared" si="0"/>
        <v>C</v>
      </c>
      <c r="L9">
        <f>IF(Helper!$E$3="All",1,IF(C9=Helper!$E$3,1,0))</f>
        <v>1</v>
      </c>
    </row>
    <row r="10" spans="1:12" x14ac:dyDescent="0.3">
      <c r="A10" s="3" t="s">
        <v>1978</v>
      </c>
      <c r="B10" s="3" t="s">
        <v>1977</v>
      </c>
      <c r="C10" s="3" t="s">
        <v>0</v>
      </c>
      <c r="D10" s="7">
        <v>0.94000000000000006</v>
      </c>
      <c r="E10" s="5">
        <v>54</v>
      </c>
      <c r="F10" s="5">
        <v>63</v>
      </c>
      <c r="G10" s="5">
        <v>44</v>
      </c>
      <c r="H10" s="5">
        <v>84</v>
      </c>
      <c r="I10" s="6">
        <f t="shared" si="1"/>
        <v>40</v>
      </c>
      <c r="J10">
        <f t="shared" si="2"/>
        <v>67.050000000000011</v>
      </c>
      <c r="K10" s="4" t="str">
        <f t="shared" si="0"/>
        <v>D</v>
      </c>
      <c r="L10">
        <f>IF(Helper!$E$3="All",1,IF(C10=Helper!$E$3,1,0))</f>
        <v>1</v>
      </c>
    </row>
    <row r="11" spans="1:12" x14ac:dyDescent="0.3">
      <c r="A11" s="3" t="s">
        <v>1976</v>
      </c>
      <c r="B11" s="3" t="s">
        <v>1975</v>
      </c>
      <c r="C11" s="3" t="s">
        <v>17</v>
      </c>
      <c r="D11" s="7">
        <v>0.65</v>
      </c>
      <c r="E11" s="5">
        <v>55</v>
      </c>
      <c r="F11" s="5">
        <v>56</v>
      </c>
      <c r="G11" s="5">
        <v>47</v>
      </c>
      <c r="H11" s="5">
        <v>91</v>
      </c>
      <c r="I11" s="6">
        <f t="shared" si="1"/>
        <v>44</v>
      </c>
      <c r="J11">
        <f t="shared" si="2"/>
        <v>60.75</v>
      </c>
      <c r="K11" s="4" t="str">
        <f t="shared" si="0"/>
        <v>D</v>
      </c>
      <c r="L11">
        <f>IF(Helper!$E$3="All",1,IF(C11=Helper!$E$3,1,0))</f>
        <v>1</v>
      </c>
    </row>
    <row r="12" spans="1:12" x14ac:dyDescent="0.3">
      <c r="A12" s="3" t="s">
        <v>1974</v>
      </c>
      <c r="B12" s="3" t="s">
        <v>1973</v>
      </c>
      <c r="C12" s="3" t="s">
        <v>0</v>
      </c>
      <c r="D12" s="7">
        <v>0.77</v>
      </c>
      <c r="E12" s="5">
        <v>93</v>
      </c>
      <c r="F12" s="5">
        <v>44</v>
      </c>
      <c r="G12" s="5">
        <v>64</v>
      </c>
      <c r="H12" s="5">
        <v>68</v>
      </c>
      <c r="I12" s="6" t="str">
        <f t="shared" si="1"/>
        <v/>
      </c>
      <c r="J12">
        <f t="shared" si="2"/>
        <v>69.650000000000006</v>
      </c>
      <c r="K12" s="4" t="str">
        <f t="shared" si="0"/>
        <v>D</v>
      </c>
      <c r="L12">
        <f>IF(Helper!$E$3="All",1,IF(C12=Helper!$E$3,1,0))</f>
        <v>1</v>
      </c>
    </row>
    <row r="13" spans="1:12" x14ac:dyDescent="0.3">
      <c r="A13" s="3" t="s">
        <v>1972</v>
      </c>
      <c r="B13" s="3" t="s">
        <v>1971</v>
      </c>
      <c r="C13" s="3" t="s">
        <v>0</v>
      </c>
      <c r="D13" s="7">
        <v>0.64</v>
      </c>
      <c r="E13" s="5">
        <v>61</v>
      </c>
      <c r="F13" s="5">
        <v>59</v>
      </c>
      <c r="G13" s="5">
        <v>66</v>
      </c>
      <c r="H13" s="5">
        <v>59</v>
      </c>
      <c r="I13" s="6" t="str">
        <f t="shared" si="1"/>
        <v/>
      </c>
      <c r="J13">
        <f t="shared" si="2"/>
        <v>56</v>
      </c>
      <c r="K13" s="4" t="str">
        <f t="shared" si="0"/>
        <v>F</v>
      </c>
      <c r="L13">
        <f>IF(Helper!$E$3="All",1,IF(C13=Helper!$E$3,1,0))</f>
        <v>1</v>
      </c>
    </row>
    <row r="14" spans="1:12" x14ac:dyDescent="0.3">
      <c r="A14" s="3" t="s">
        <v>1970</v>
      </c>
      <c r="B14" s="3" t="s">
        <v>1969</v>
      </c>
      <c r="C14" s="3" t="s">
        <v>0</v>
      </c>
      <c r="D14" s="7">
        <v>0.84</v>
      </c>
      <c r="E14" s="5">
        <v>67</v>
      </c>
      <c r="F14" s="5">
        <v>60</v>
      </c>
      <c r="G14" s="5">
        <v>85</v>
      </c>
      <c r="H14" s="5">
        <v>92</v>
      </c>
      <c r="I14" s="6" t="str">
        <f t="shared" si="1"/>
        <v/>
      </c>
      <c r="J14">
        <f t="shared" si="2"/>
        <v>87.15</v>
      </c>
      <c r="K14" s="4" t="str">
        <f t="shared" si="0"/>
        <v>B</v>
      </c>
      <c r="L14">
        <f>IF(Helper!$E$3="All",1,IF(C14=Helper!$E$3,1,0))</f>
        <v>1</v>
      </c>
    </row>
    <row r="15" spans="1:12" x14ac:dyDescent="0.3">
      <c r="A15" s="3" t="s">
        <v>1968</v>
      </c>
      <c r="B15" s="3" t="s">
        <v>1967</v>
      </c>
      <c r="C15" s="3" t="s">
        <v>0</v>
      </c>
      <c r="D15" s="7">
        <v>0.61</v>
      </c>
      <c r="E15" s="5">
        <v>59</v>
      </c>
      <c r="F15" s="5">
        <v>79</v>
      </c>
      <c r="G15" s="5">
        <v>62</v>
      </c>
      <c r="H15" s="5">
        <v>66</v>
      </c>
      <c r="I15" s="6" t="str">
        <f t="shared" si="1"/>
        <v/>
      </c>
      <c r="J15">
        <f t="shared" si="2"/>
        <v>58.100000000000009</v>
      </c>
      <c r="K15" s="4" t="str">
        <f t="shared" si="0"/>
        <v>F</v>
      </c>
      <c r="L15">
        <f>IF(Helper!$E$3="All",1,IF(C15=Helper!$E$3,1,0))</f>
        <v>1</v>
      </c>
    </row>
    <row r="16" spans="1:12" x14ac:dyDescent="0.3">
      <c r="A16" s="3" t="s">
        <v>1966</v>
      </c>
      <c r="B16" s="3" t="s">
        <v>1965</v>
      </c>
      <c r="C16" s="3" t="s">
        <v>3</v>
      </c>
      <c r="D16" s="7">
        <v>0.69000000000000006</v>
      </c>
      <c r="E16" s="5">
        <v>72</v>
      </c>
      <c r="F16" s="5">
        <v>97</v>
      </c>
      <c r="G16" s="5">
        <v>69</v>
      </c>
      <c r="H16" s="5">
        <v>57</v>
      </c>
      <c r="I16" s="6" t="str">
        <f t="shared" si="1"/>
        <v/>
      </c>
      <c r="J16">
        <f t="shared" si="2"/>
        <v>58.849999999999994</v>
      </c>
      <c r="K16" s="4" t="str">
        <f t="shared" si="0"/>
        <v>F</v>
      </c>
      <c r="L16">
        <f>IF(Helper!$E$3="All",1,IF(C16=Helper!$E$3,1,0))</f>
        <v>1</v>
      </c>
    </row>
    <row r="17" spans="1:12" x14ac:dyDescent="0.3">
      <c r="A17" s="3" t="s">
        <v>1964</v>
      </c>
      <c r="B17" s="3" t="s">
        <v>1963</v>
      </c>
      <c r="C17" s="3" t="s">
        <v>8</v>
      </c>
      <c r="D17" s="7">
        <v>0.89</v>
      </c>
      <c r="E17" s="5">
        <v>49</v>
      </c>
      <c r="F17" s="5">
        <v>70</v>
      </c>
      <c r="G17" s="5">
        <v>84</v>
      </c>
      <c r="H17" s="5">
        <v>43</v>
      </c>
      <c r="I17" s="6">
        <f t="shared" si="1"/>
        <v>-41</v>
      </c>
      <c r="J17">
        <f t="shared" si="2"/>
        <v>66.75</v>
      </c>
      <c r="K17" s="4" t="str">
        <f t="shared" si="0"/>
        <v>D</v>
      </c>
      <c r="L17">
        <f>IF(Helper!$E$3="All",1,IF(C17=Helper!$E$3,1,0))</f>
        <v>1</v>
      </c>
    </row>
    <row r="18" spans="1:12" x14ac:dyDescent="0.3">
      <c r="A18" s="3" t="s">
        <v>1962</v>
      </c>
      <c r="B18" s="3" t="s">
        <v>1961</v>
      </c>
      <c r="C18" s="3" t="s">
        <v>3</v>
      </c>
      <c r="D18" s="7">
        <v>0.64</v>
      </c>
      <c r="E18" s="5">
        <v>79</v>
      </c>
      <c r="F18" s="5">
        <v>85</v>
      </c>
      <c r="G18" s="5">
        <v>86</v>
      </c>
      <c r="H18" s="5">
        <v>40</v>
      </c>
      <c r="I18" s="6">
        <f t="shared" si="1"/>
        <v>-46</v>
      </c>
      <c r="J18">
        <f t="shared" si="2"/>
        <v>58.599999999999994</v>
      </c>
      <c r="K18" s="4" t="str">
        <f t="shared" si="0"/>
        <v>F</v>
      </c>
      <c r="L18">
        <f>IF(Helper!$E$3="All",1,IF(C18=Helper!$E$3,1,0))</f>
        <v>1</v>
      </c>
    </row>
    <row r="19" spans="1:12" x14ac:dyDescent="0.3">
      <c r="A19" s="3" t="s">
        <v>1960</v>
      </c>
      <c r="B19" s="3" t="s">
        <v>1959</v>
      </c>
      <c r="C19" s="3" t="s">
        <v>3</v>
      </c>
      <c r="D19" s="7">
        <v>0.92</v>
      </c>
      <c r="E19" s="5">
        <v>71</v>
      </c>
      <c r="F19" s="5">
        <v>75</v>
      </c>
      <c r="G19" s="5">
        <v>62</v>
      </c>
      <c r="H19" s="5">
        <v>89</v>
      </c>
      <c r="I19" s="6">
        <f t="shared" si="1"/>
        <v>27</v>
      </c>
      <c r="J19">
        <f t="shared" si="2"/>
        <v>77.7</v>
      </c>
      <c r="K19" s="4" t="str">
        <f t="shared" si="0"/>
        <v>C</v>
      </c>
      <c r="L19">
        <f>IF(Helper!$E$3="All",1,IF(C19=Helper!$E$3,1,0))</f>
        <v>1</v>
      </c>
    </row>
    <row r="20" spans="1:12" x14ac:dyDescent="0.3">
      <c r="A20" s="3" t="s">
        <v>1958</v>
      </c>
      <c r="B20" s="3" t="s">
        <v>1957</v>
      </c>
      <c r="C20" s="3" t="s">
        <v>3</v>
      </c>
      <c r="D20" s="7">
        <v>0.6</v>
      </c>
      <c r="E20" s="5">
        <v>89</v>
      </c>
      <c r="F20" s="5">
        <v>50</v>
      </c>
      <c r="G20" s="5">
        <v>88</v>
      </c>
      <c r="H20" s="5">
        <v>40</v>
      </c>
      <c r="I20" s="6">
        <f t="shared" si="1"/>
        <v>-48</v>
      </c>
      <c r="J20">
        <f t="shared" si="2"/>
        <v>58.150000000000006</v>
      </c>
      <c r="K20" s="4" t="str">
        <f t="shared" si="0"/>
        <v>F</v>
      </c>
      <c r="L20">
        <f>IF(Helper!$E$3="All",1,IF(C20=Helper!$E$3,1,0))</f>
        <v>1</v>
      </c>
    </row>
    <row r="21" spans="1:12" x14ac:dyDescent="0.3">
      <c r="A21" s="3" t="s">
        <v>1956</v>
      </c>
      <c r="B21" s="3" t="s">
        <v>1955</v>
      </c>
      <c r="C21" s="3" t="s">
        <v>0</v>
      </c>
      <c r="D21" s="7">
        <v>0.77</v>
      </c>
      <c r="E21" s="5">
        <v>99</v>
      </c>
      <c r="F21" s="5">
        <v>91</v>
      </c>
      <c r="G21" s="5">
        <v>86</v>
      </c>
      <c r="H21" s="5">
        <v>97</v>
      </c>
      <c r="I21" s="6" t="str">
        <f t="shared" si="1"/>
        <v/>
      </c>
      <c r="J21">
        <f t="shared" si="2"/>
        <v>92.699999999999989</v>
      </c>
      <c r="K21" s="4" t="str">
        <f t="shared" si="0"/>
        <v>A</v>
      </c>
      <c r="L21">
        <f>IF(Helper!$E$3="All",1,IF(C21=Helper!$E$3,1,0))</f>
        <v>1</v>
      </c>
    </row>
    <row r="22" spans="1:12" x14ac:dyDescent="0.3">
      <c r="A22" s="3" t="s">
        <v>1954</v>
      </c>
      <c r="B22" s="3" t="s">
        <v>1953</v>
      </c>
      <c r="C22" s="3" t="s">
        <v>17</v>
      </c>
      <c r="D22" s="7">
        <v>0.91</v>
      </c>
      <c r="E22" s="5">
        <v>72</v>
      </c>
      <c r="F22" s="5">
        <v>54</v>
      </c>
      <c r="G22" s="5">
        <v>59</v>
      </c>
      <c r="H22" s="5">
        <v>65</v>
      </c>
      <c r="I22" s="6" t="str">
        <f t="shared" si="1"/>
        <v/>
      </c>
      <c r="J22">
        <f t="shared" si="2"/>
        <v>65.900000000000006</v>
      </c>
      <c r="K22" s="4" t="str">
        <f t="shared" si="0"/>
        <v>D</v>
      </c>
      <c r="L22">
        <f>IF(Helper!$E$3="All",1,IF(C22=Helper!$E$3,1,0))</f>
        <v>1</v>
      </c>
    </row>
    <row r="23" spans="1:12" x14ac:dyDescent="0.3">
      <c r="A23" s="3" t="s">
        <v>1952</v>
      </c>
      <c r="B23" s="3" t="s">
        <v>1951</v>
      </c>
      <c r="C23" s="3" t="s">
        <v>8</v>
      </c>
      <c r="D23" s="7">
        <v>0.70000000000000007</v>
      </c>
      <c r="E23" s="5">
        <v>41</v>
      </c>
      <c r="F23" s="5">
        <v>58</v>
      </c>
      <c r="G23" s="5">
        <v>57</v>
      </c>
      <c r="H23" s="5">
        <v>84</v>
      </c>
      <c r="I23" s="6">
        <f t="shared" si="1"/>
        <v>27</v>
      </c>
      <c r="J23">
        <f t="shared" si="2"/>
        <v>61.349999999999994</v>
      </c>
      <c r="K23" s="4" t="str">
        <f t="shared" si="0"/>
        <v>D</v>
      </c>
      <c r="L23">
        <f>IF(Helper!$E$3="All",1,IF(C23=Helper!$E$3,1,0))</f>
        <v>1</v>
      </c>
    </row>
    <row r="24" spans="1:12" x14ac:dyDescent="0.3">
      <c r="A24" s="3" t="s">
        <v>1950</v>
      </c>
      <c r="B24" s="3" t="s">
        <v>1949</v>
      </c>
      <c r="C24" s="3" t="s">
        <v>17</v>
      </c>
      <c r="D24" s="7">
        <v>0.8</v>
      </c>
      <c r="E24" s="5">
        <v>72</v>
      </c>
      <c r="F24" s="5">
        <v>46</v>
      </c>
      <c r="G24" s="5">
        <v>57</v>
      </c>
      <c r="H24" s="5">
        <v>59</v>
      </c>
      <c r="I24" s="6" t="str">
        <f t="shared" si="1"/>
        <v/>
      </c>
      <c r="J24">
        <f t="shared" si="2"/>
        <v>62.3</v>
      </c>
      <c r="K24" s="4" t="str">
        <f t="shared" si="0"/>
        <v>D</v>
      </c>
      <c r="L24">
        <f>IF(Helper!$E$3="All",1,IF(C24=Helper!$E$3,1,0))</f>
        <v>1</v>
      </c>
    </row>
    <row r="25" spans="1:12" x14ac:dyDescent="0.3">
      <c r="A25" s="3" t="s">
        <v>1948</v>
      </c>
      <c r="B25" s="3" t="s">
        <v>1947</v>
      </c>
      <c r="C25" s="3" t="s">
        <v>3</v>
      </c>
      <c r="D25" s="7">
        <v>0.85</v>
      </c>
      <c r="E25" s="5">
        <v>72</v>
      </c>
      <c r="F25" s="5">
        <v>90</v>
      </c>
      <c r="G25" s="5">
        <v>41</v>
      </c>
      <c r="H25" s="5">
        <v>91</v>
      </c>
      <c r="I25" s="6">
        <f t="shared" si="1"/>
        <v>50</v>
      </c>
      <c r="J25">
        <f t="shared" si="2"/>
        <v>70.900000000000006</v>
      </c>
      <c r="K25" s="4" t="str">
        <f t="shared" si="0"/>
        <v>C</v>
      </c>
      <c r="L25">
        <f>IF(Helper!$E$3="All",1,IF(C25=Helper!$E$3,1,0))</f>
        <v>1</v>
      </c>
    </row>
    <row r="26" spans="1:12" x14ac:dyDescent="0.3">
      <c r="A26" s="3" t="s">
        <v>1946</v>
      </c>
      <c r="B26" s="3" t="s">
        <v>1945</v>
      </c>
      <c r="C26" s="3" t="s">
        <v>3</v>
      </c>
      <c r="D26" s="7">
        <v>0.84</v>
      </c>
      <c r="E26" s="5">
        <v>80</v>
      </c>
      <c r="F26" s="5">
        <v>67</v>
      </c>
      <c r="G26" s="5">
        <v>43</v>
      </c>
      <c r="H26" s="5">
        <v>62</v>
      </c>
      <c r="I26" s="6">
        <f t="shared" si="1"/>
        <v>19</v>
      </c>
      <c r="J26">
        <f t="shared" si="2"/>
        <v>59.349999999999994</v>
      </c>
      <c r="K26" s="4" t="str">
        <f t="shared" si="0"/>
        <v>F</v>
      </c>
      <c r="L26">
        <f>IF(Helper!$E$3="All",1,IF(C26=Helper!$E$3,1,0))</f>
        <v>1</v>
      </c>
    </row>
    <row r="27" spans="1:12" x14ac:dyDescent="0.3">
      <c r="A27" s="3" t="s">
        <v>1944</v>
      </c>
      <c r="B27" s="3" t="s">
        <v>1943</v>
      </c>
      <c r="C27" s="3" t="s">
        <v>17</v>
      </c>
      <c r="D27" s="7">
        <v>0.81</v>
      </c>
      <c r="E27" s="5">
        <v>52</v>
      </c>
      <c r="F27" s="5">
        <v>90</v>
      </c>
      <c r="G27" s="5">
        <v>69</v>
      </c>
      <c r="H27" s="5">
        <v>49</v>
      </c>
      <c r="I27" s="6" t="str">
        <f t="shared" si="1"/>
        <v/>
      </c>
      <c r="J27">
        <f t="shared" si="2"/>
        <v>64.300000000000011</v>
      </c>
      <c r="K27" s="4" t="str">
        <f t="shared" si="0"/>
        <v>D</v>
      </c>
      <c r="L27">
        <f>IF(Helper!$E$3="All",1,IF(C27=Helper!$E$3,1,0))</f>
        <v>1</v>
      </c>
    </row>
    <row r="28" spans="1:12" x14ac:dyDescent="0.3">
      <c r="A28" s="3" t="s">
        <v>1942</v>
      </c>
      <c r="B28" s="3" t="s">
        <v>1941</v>
      </c>
      <c r="C28" s="3" t="s">
        <v>17</v>
      </c>
      <c r="D28" s="7">
        <v>0.86</v>
      </c>
      <c r="E28" s="5">
        <v>69</v>
      </c>
      <c r="F28" s="5">
        <v>82</v>
      </c>
      <c r="G28" s="5">
        <v>72</v>
      </c>
      <c r="H28" s="5">
        <v>98</v>
      </c>
      <c r="I28" s="6">
        <f t="shared" si="1"/>
        <v>26</v>
      </c>
      <c r="J28">
        <f t="shared" si="2"/>
        <v>85.55</v>
      </c>
      <c r="K28" s="4" t="str">
        <f t="shared" si="0"/>
        <v>B</v>
      </c>
      <c r="L28">
        <f>IF(Helper!$E$3="All",1,IF(C28=Helper!$E$3,1,0))</f>
        <v>1</v>
      </c>
    </row>
    <row r="29" spans="1:12" x14ac:dyDescent="0.3">
      <c r="A29" s="3" t="s">
        <v>1940</v>
      </c>
      <c r="B29" s="3" t="s">
        <v>1939</v>
      </c>
      <c r="C29" s="3" t="s">
        <v>17</v>
      </c>
      <c r="D29" s="7">
        <v>0.72</v>
      </c>
      <c r="E29" s="5">
        <v>72</v>
      </c>
      <c r="F29" s="5">
        <v>97</v>
      </c>
      <c r="G29" s="5">
        <v>75</v>
      </c>
      <c r="H29" s="5">
        <v>50</v>
      </c>
      <c r="I29" s="6" t="str">
        <f t="shared" si="1"/>
        <v/>
      </c>
      <c r="J29">
        <f t="shared" si="2"/>
        <v>68.45</v>
      </c>
      <c r="K29" s="4" t="str">
        <f t="shared" si="0"/>
        <v>D</v>
      </c>
      <c r="L29">
        <f>IF(Helper!$E$3="All",1,IF(C29=Helper!$E$3,1,0))</f>
        <v>1</v>
      </c>
    </row>
    <row r="30" spans="1:12" x14ac:dyDescent="0.3">
      <c r="A30" s="3" t="s">
        <v>1938</v>
      </c>
      <c r="B30" s="3" t="s">
        <v>1937</v>
      </c>
      <c r="C30" s="3" t="s">
        <v>3</v>
      </c>
      <c r="D30" s="7">
        <v>0.92</v>
      </c>
      <c r="E30" s="5">
        <v>52</v>
      </c>
      <c r="F30" s="5">
        <v>44</v>
      </c>
      <c r="G30" s="5">
        <v>57</v>
      </c>
      <c r="H30" s="5">
        <v>80</v>
      </c>
      <c r="I30" s="6">
        <f t="shared" si="1"/>
        <v>23</v>
      </c>
      <c r="J30">
        <f t="shared" si="2"/>
        <v>69.599999999999994</v>
      </c>
      <c r="K30" s="4" t="str">
        <f t="shared" si="0"/>
        <v>D</v>
      </c>
      <c r="L30">
        <f>IF(Helper!$E$3="All",1,IF(C30=Helper!$E$3,1,0))</f>
        <v>1</v>
      </c>
    </row>
    <row r="31" spans="1:12" x14ac:dyDescent="0.3">
      <c r="A31" s="3" t="s">
        <v>1936</v>
      </c>
      <c r="B31" s="3" t="s">
        <v>1935</v>
      </c>
      <c r="C31" s="3" t="s">
        <v>3</v>
      </c>
      <c r="D31" s="7">
        <v>0.93</v>
      </c>
      <c r="E31" s="5">
        <v>91</v>
      </c>
      <c r="F31" s="5">
        <v>44</v>
      </c>
      <c r="G31" s="5">
        <v>76</v>
      </c>
      <c r="H31" s="5">
        <v>80</v>
      </c>
      <c r="I31" s="6" t="str">
        <f t="shared" si="1"/>
        <v/>
      </c>
      <c r="J31">
        <f t="shared" si="2"/>
        <v>79.150000000000006</v>
      </c>
      <c r="K31" s="4" t="str">
        <f t="shared" si="0"/>
        <v>C</v>
      </c>
      <c r="L31">
        <f>IF(Helper!$E$3="All",1,IF(C31=Helper!$E$3,1,0))</f>
        <v>1</v>
      </c>
    </row>
    <row r="32" spans="1:12" x14ac:dyDescent="0.3">
      <c r="A32" s="3" t="s">
        <v>1934</v>
      </c>
      <c r="B32" s="3" t="s">
        <v>1933</v>
      </c>
      <c r="C32" s="3" t="s">
        <v>8</v>
      </c>
      <c r="D32" s="7">
        <v>1</v>
      </c>
      <c r="E32" s="5">
        <v>65</v>
      </c>
      <c r="F32" s="5">
        <v>69</v>
      </c>
      <c r="G32" s="5">
        <v>58</v>
      </c>
      <c r="H32" s="5">
        <v>44</v>
      </c>
      <c r="I32" s="6" t="str">
        <f t="shared" si="1"/>
        <v/>
      </c>
      <c r="J32">
        <f t="shared" si="2"/>
        <v>57.5</v>
      </c>
      <c r="K32" s="4" t="str">
        <f t="shared" si="0"/>
        <v>F</v>
      </c>
      <c r="L32">
        <f>IF(Helper!$E$3="All",1,IF(C32=Helper!$E$3,1,0))</f>
        <v>1</v>
      </c>
    </row>
    <row r="33" spans="1:12" x14ac:dyDescent="0.3">
      <c r="A33" s="3" t="s">
        <v>1932</v>
      </c>
      <c r="B33" s="3" t="s">
        <v>1931</v>
      </c>
      <c r="C33" s="3" t="s">
        <v>8</v>
      </c>
      <c r="D33" s="7">
        <v>0.94000000000000006</v>
      </c>
      <c r="E33" s="5">
        <v>61</v>
      </c>
      <c r="F33" s="5">
        <v>93</v>
      </c>
      <c r="G33" s="5">
        <v>86</v>
      </c>
      <c r="H33" s="5">
        <v>97</v>
      </c>
      <c r="I33" s="6" t="str">
        <f t="shared" si="1"/>
        <v/>
      </c>
      <c r="J33">
        <f t="shared" si="2"/>
        <v>90.9</v>
      </c>
      <c r="K33" s="4" t="str">
        <f t="shared" si="0"/>
        <v>A</v>
      </c>
      <c r="L33">
        <f>IF(Helper!$E$3="All",1,IF(C33=Helper!$E$3,1,0))</f>
        <v>1</v>
      </c>
    </row>
    <row r="34" spans="1:12" x14ac:dyDescent="0.3">
      <c r="A34" s="3" t="s">
        <v>1930</v>
      </c>
      <c r="B34" s="3" t="s">
        <v>1929</v>
      </c>
      <c r="C34" s="3" t="s">
        <v>3</v>
      </c>
      <c r="D34" s="7">
        <v>0.6</v>
      </c>
      <c r="E34" s="5">
        <v>78</v>
      </c>
      <c r="F34" s="5">
        <v>71</v>
      </c>
      <c r="G34" s="5">
        <v>67</v>
      </c>
      <c r="H34" s="5">
        <v>40</v>
      </c>
      <c r="I34" s="6">
        <f t="shared" si="1"/>
        <v>-27</v>
      </c>
      <c r="J34">
        <f t="shared" si="2"/>
        <v>50.25</v>
      </c>
      <c r="K34" s="4" t="str">
        <f t="shared" si="0"/>
        <v>F</v>
      </c>
      <c r="L34">
        <f>IF(Helper!$E$3="All",1,IF(C34=Helper!$E$3,1,0))</f>
        <v>1</v>
      </c>
    </row>
    <row r="35" spans="1:12" x14ac:dyDescent="0.3">
      <c r="A35" s="3" t="s">
        <v>1928</v>
      </c>
      <c r="B35" s="3" t="s">
        <v>1927</v>
      </c>
      <c r="C35" s="3" t="s">
        <v>17</v>
      </c>
      <c r="D35" s="7">
        <v>0.8</v>
      </c>
      <c r="E35" s="5">
        <v>41</v>
      </c>
      <c r="F35" s="5">
        <v>47</v>
      </c>
      <c r="G35" s="5">
        <v>79</v>
      </c>
      <c r="H35" s="5">
        <v>56</v>
      </c>
      <c r="I35" s="6" t="str">
        <f t="shared" si="1"/>
        <v/>
      </c>
      <c r="J35">
        <f t="shared" si="2"/>
        <v>68.400000000000006</v>
      </c>
      <c r="K35" s="4" t="str">
        <f t="shared" si="0"/>
        <v>D</v>
      </c>
      <c r="L35">
        <f>IF(Helper!$E$3="All",1,IF(C35=Helper!$E$3,1,0))</f>
        <v>1</v>
      </c>
    </row>
    <row r="36" spans="1:12" x14ac:dyDescent="0.3">
      <c r="A36" s="3" t="s">
        <v>1926</v>
      </c>
      <c r="B36" s="3" t="s">
        <v>1925</v>
      </c>
      <c r="C36" s="3" t="s">
        <v>17</v>
      </c>
      <c r="D36" s="7">
        <v>0.65</v>
      </c>
      <c r="E36" s="5">
        <v>77</v>
      </c>
      <c r="F36" s="5">
        <v>49</v>
      </c>
      <c r="G36" s="5">
        <v>59</v>
      </c>
      <c r="H36" s="5">
        <v>61</v>
      </c>
      <c r="I36" s="6" t="str">
        <f t="shared" si="1"/>
        <v/>
      </c>
      <c r="J36">
        <f t="shared" si="2"/>
        <v>54.3</v>
      </c>
      <c r="K36" s="4" t="str">
        <f t="shared" si="0"/>
        <v>F</v>
      </c>
      <c r="L36">
        <f>IF(Helper!$E$3="All",1,IF(C36=Helper!$E$3,1,0))</f>
        <v>1</v>
      </c>
    </row>
    <row r="37" spans="1:12" x14ac:dyDescent="0.3">
      <c r="A37" s="3" t="s">
        <v>1924</v>
      </c>
      <c r="B37" s="3" t="s">
        <v>1923</v>
      </c>
      <c r="C37" s="3" t="s">
        <v>8</v>
      </c>
      <c r="D37" s="7">
        <v>0.87</v>
      </c>
      <c r="E37" s="5">
        <v>78</v>
      </c>
      <c r="F37" s="5">
        <v>77</v>
      </c>
      <c r="G37" s="5">
        <v>88</v>
      </c>
      <c r="H37" s="5">
        <v>73</v>
      </c>
      <c r="I37" s="6" t="str">
        <f t="shared" si="1"/>
        <v/>
      </c>
      <c r="J37">
        <f t="shared" si="2"/>
        <v>82.15</v>
      </c>
      <c r="K37" s="4" t="str">
        <f t="shared" si="0"/>
        <v>B</v>
      </c>
      <c r="L37">
        <f>IF(Helper!$E$3="All",1,IF(C37=Helper!$E$3,1,0))</f>
        <v>1</v>
      </c>
    </row>
    <row r="38" spans="1:12" x14ac:dyDescent="0.3">
      <c r="A38" s="3" t="s">
        <v>1922</v>
      </c>
      <c r="B38" s="3" t="s">
        <v>1921</v>
      </c>
      <c r="C38" s="3" t="s">
        <v>3</v>
      </c>
      <c r="D38" s="7">
        <v>0.76</v>
      </c>
      <c r="E38" s="5">
        <v>65</v>
      </c>
      <c r="F38" s="5">
        <v>86</v>
      </c>
      <c r="G38" s="5">
        <v>72</v>
      </c>
      <c r="H38" s="5">
        <v>95</v>
      </c>
      <c r="I38" s="6">
        <f t="shared" si="1"/>
        <v>23</v>
      </c>
      <c r="J38">
        <f t="shared" si="2"/>
        <v>84.35</v>
      </c>
      <c r="K38" s="4" t="str">
        <f t="shared" si="0"/>
        <v>B</v>
      </c>
      <c r="L38">
        <f>IF(Helper!$E$3="All",1,IF(C38=Helper!$E$3,1,0))</f>
        <v>1</v>
      </c>
    </row>
    <row r="39" spans="1:12" x14ac:dyDescent="0.3">
      <c r="A39" s="3" t="s">
        <v>1920</v>
      </c>
      <c r="B39" s="3" t="s">
        <v>1919</v>
      </c>
      <c r="C39" s="3" t="s">
        <v>8</v>
      </c>
      <c r="D39" s="7">
        <v>0.64</v>
      </c>
      <c r="E39" s="5">
        <v>85</v>
      </c>
      <c r="F39" s="5">
        <v>71</v>
      </c>
      <c r="G39" s="5">
        <v>51</v>
      </c>
      <c r="H39" s="5">
        <v>84</v>
      </c>
      <c r="I39" s="6">
        <f t="shared" si="1"/>
        <v>33</v>
      </c>
      <c r="J39">
        <f t="shared" si="2"/>
        <v>61.8</v>
      </c>
      <c r="K39" s="4" t="str">
        <f t="shared" si="0"/>
        <v>D</v>
      </c>
      <c r="L39">
        <f>IF(Helper!$E$3="All",1,IF(C39=Helper!$E$3,1,0))</f>
        <v>1</v>
      </c>
    </row>
    <row r="40" spans="1:12" x14ac:dyDescent="0.3">
      <c r="A40" s="3" t="s">
        <v>1918</v>
      </c>
      <c r="B40" s="3" t="s">
        <v>1917</v>
      </c>
      <c r="C40" s="3" t="s">
        <v>8</v>
      </c>
      <c r="D40" s="7">
        <v>0.9</v>
      </c>
      <c r="E40" s="5">
        <v>97</v>
      </c>
      <c r="F40" s="5">
        <v>87</v>
      </c>
      <c r="G40" s="5">
        <v>97</v>
      </c>
      <c r="H40" s="5">
        <v>80</v>
      </c>
      <c r="I40" s="6" t="str">
        <f t="shared" si="1"/>
        <v/>
      </c>
      <c r="J40">
        <f t="shared" si="2"/>
        <v>90</v>
      </c>
      <c r="K40" s="4" t="str">
        <f t="shared" si="0"/>
        <v>A</v>
      </c>
      <c r="L40">
        <f>IF(Helper!$E$3="All",1,IF(C40=Helper!$E$3,1,0))</f>
        <v>1</v>
      </c>
    </row>
    <row r="41" spans="1:12" x14ac:dyDescent="0.3">
      <c r="A41" s="3" t="s">
        <v>1916</v>
      </c>
      <c r="B41" s="3" t="s">
        <v>1915</v>
      </c>
      <c r="C41" s="3" t="s">
        <v>0</v>
      </c>
      <c r="D41" s="7">
        <v>0.64</v>
      </c>
      <c r="E41" s="5">
        <v>89</v>
      </c>
      <c r="F41" s="5">
        <v>67</v>
      </c>
      <c r="G41" s="5">
        <v>90</v>
      </c>
      <c r="H41" s="5">
        <v>68</v>
      </c>
      <c r="I41" s="6" t="str">
        <f t="shared" si="1"/>
        <v/>
      </c>
      <c r="J41">
        <f t="shared" si="2"/>
        <v>71</v>
      </c>
      <c r="K41" s="4" t="str">
        <f t="shared" si="0"/>
        <v>C</v>
      </c>
      <c r="L41">
        <f>IF(Helper!$E$3="All",1,IF(C41=Helper!$E$3,1,0))</f>
        <v>1</v>
      </c>
    </row>
    <row r="42" spans="1:12" x14ac:dyDescent="0.3">
      <c r="A42" s="3" t="s">
        <v>1914</v>
      </c>
      <c r="B42" s="3" t="s">
        <v>1913</v>
      </c>
      <c r="C42" s="3" t="s">
        <v>0</v>
      </c>
      <c r="D42" s="7">
        <v>0.97</v>
      </c>
      <c r="E42" s="5">
        <v>54</v>
      </c>
      <c r="F42" s="5">
        <v>56</v>
      </c>
      <c r="G42" s="5">
        <v>54</v>
      </c>
      <c r="H42" s="5">
        <v>43</v>
      </c>
      <c r="I42" s="6" t="str">
        <f t="shared" si="1"/>
        <v/>
      </c>
      <c r="J42">
        <f t="shared" si="2"/>
        <v>54.3</v>
      </c>
      <c r="K42" s="4" t="str">
        <f t="shared" si="0"/>
        <v>F</v>
      </c>
      <c r="L42">
        <f>IF(Helper!$E$3="All",1,IF(C42=Helper!$E$3,1,0))</f>
        <v>1</v>
      </c>
    </row>
    <row r="43" spans="1:12" x14ac:dyDescent="0.3">
      <c r="A43" s="3" t="s">
        <v>1912</v>
      </c>
      <c r="B43" s="3" t="s">
        <v>1911</v>
      </c>
      <c r="C43" s="3" t="s">
        <v>0</v>
      </c>
      <c r="D43" s="7">
        <v>0.62</v>
      </c>
      <c r="E43" s="5">
        <v>73</v>
      </c>
      <c r="F43" s="5">
        <v>70</v>
      </c>
      <c r="G43" s="5">
        <v>80</v>
      </c>
      <c r="H43" s="5">
        <v>44</v>
      </c>
      <c r="I43" s="6">
        <f t="shared" si="1"/>
        <v>-36</v>
      </c>
      <c r="J43">
        <f t="shared" si="2"/>
        <v>56.75</v>
      </c>
      <c r="K43" s="4" t="str">
        <f t="shared" si="0"/>
        <v>F</v>
      </c>
      <c r="L43">
        <f>IF(Helper!$E$3="All",1,IF(C43=Helper!$E$3,1,0))</f>
        <v>1</v>
      </c>
    </row>
    <row r="44" spans="1:12" x14ac:dyDescent="0.3">
      <c r="A44" s="3" t="s">
        <v>1910</v>
      </c>
      <c r="B44" s="3" t="s">
        <v>1909</v>
      </c>
      <c r="C44" s="3" t="s">
        <v>17</v>
      </c>
      <c r="D44" s="7">
        <v>0.82000000000000006</v>
      </c>
      <c r="E44" s="5">
        <v>81</v>
      </c>
      <c r="F44" s="5">
        <v>47</v>
      </c>
      <c r="G44" s="5">
        <v>78</v>
      </c>
      <c r="H44" s="5">
        <v>50</v>
      </c>
      <c r="I44" s="6">
        <f t="shared" si="1"/>
        <v>-28</v>
      </c>
      <c r="J44">
        <f t="shared" si="2"/>
        <v>67.599999999999994</v>
      </c>
      <c r="K44" s="4" t="str">
        <f t="shared" si="0"/>
        <v>D</v>
      </c>
      <c r="L44">
        <f>IF(Helper!$E$3="All",1,IF(C44=Helper!$E$3,1,0))</f>
        <v>1</v>
      </c>
    </row>
    <row r="45" spans="1:12" x14ac:dyDescent="0.3">
      <c r="A45" s="3" t="s">
        <v>1908</v>
      </c>
      <c r="B45" s="3" t="s">
        <v>1907</v>
      </c>
      <c r="C45" s="3" t="s">
        <v>3</v>
      </c>
      <c r="D45" s="7">
        <v>0.96</v>
      </c>
      <c r="E45" s="5">
        <v>94</v>
      </c>
      <c r="F45" s="5">
        <v>79</v>
      </c>
      <c r="G45" s="5">
        <v>41</v>
      </c>
      <c r="H45" s="5">
        <v>95</v>
      </c>
      <c r="I45" s="6">
        <f t="shared" si="1"/>
        <v>54</v>
      </c>
      <c r="J45">
        <f t="shared" si="2"/>
        <v>73.05</v>
      </c>
      <c r="K45" s="4" t="str">
        <f t="shared" si="0"/>
        <v>C</v>
      </c>
      <c r="L45">
        <f>IF(Helper!$E$3="All",1,IF(C45=Helper!$E$3,1,0))</f>
        <v>1</v>
      </c>
    </row>
    <row r="46" spans="1:12" x14ac:dyDescent="0.3">
      <c r="A46" s="3" t="s">
        <v>1906</v>
      </c>
      <c r="B46" s="3" t="s">
        <v>1905</v>
      </c>
      <c r="C46" s="3" t="s">
        <v>3</v>
      </c>
      <c r="D46" s="7">
        <v>0.96</v>
      </c>
      <c r="E46" s="5">
        <v>83</v>
      </c>
      <c r="F46" s="5">
        <v>64</v>
      </c>
      <c r="G46" s="5">
        <v>68</v>
      </c>
      <c r="H46" s="5">
        <v>90</v>
      </c>
      <c r="I46" s="6">
        <f t="shared" si="1"/>
        <v>22</v>
      </c>
      <c r="J46">
        <f t="shared" si="2"/>
        <v>80.55</v>
      </c>
      <c r="K46" s="4" t="str">
        <f t="shared" si="0"/>
        <v>B</v>
      </c>
      <c r="L46">
        <f>IF(Helper!$E$3="All",1,IF(C46=Helper!$E$3,1,0))</f>
        <v>1</v>
      </c>
    </row>
    <row r="47" spans="1:12" x14ac:dyDescent="0.3">
      <c r="A47" s="3" t="s">
        <v>1904</v>
      </c>
      <c r="B47" s="3" t="s">
        <v>1903</v>
      </c>
      <c r="C47" s="3" t="s">
        <v>3</v>
      </c>
      <c r="D47" s="7">
        <v>0.69000000000000006</v>
      </c>
      <c r="E47" s="5">
        <v>88</v>
      </c>
      <c r="F47" s="5">
        <v>48</v>
      </c>
      <c r="G47" s="5">
        <v>80</v>
      </c>
      <c r="H47" s="5">
        <v>60</v>
      </c>
      <c r="I47" s="6" t="str">
        <f t="shared" si="1"/>
        <v/>
      </c>
      <c r="J47">
        <f t="shared" si="2"/>
        <v>62.8</v>
      </c>
      <c r="K47" s="4" t="str">
        <f t="shared" si="0"/>
        <v>D</v>
      </c>
      <c r="L47">
        <f>IF(Helper!$E$3="All",1,IF(C47=Helper!$E$3,1,0))</f>
        <v>1</v>
      </c>
    </row>
    <row r="48" spans="1:12" x14ac:dyDescent="0.3">
      <c r="A48" s="3" t="s">
        <v>1902</v>
      </c>
      <c r="B48" s="3" t="s">
        <v>1901</v>
      </c>
      <c r="C48" s="3" t="s">
        <v>3</v>
      </c>
      <c r="D48" s="7">
        <v>0.69000000000000006</v>
      </c>
      <c r="E48" s="5">
        <v>79</v>
      </c>
      <c r="F48" s="5">
        <v>41</v>
      </c>
      <c r="G48" s="5">
        <v>49</v>
      </c>
      <c r="H48" s="5">
        <v>74</v>
      </c>
      <c r="I48" s="6">
        <f t="shared" si="1"/>
        <v>25</v>
      </c>
      <c r="J48">
        <f t="shared" si="2"/>
        <v>55.2</v>
      </c>
      <c r="K48" s="4" t="str">
        <f t="shared" si="0"/>
        <v>F</v>
      </c>
      <c r="L48">
        <f>IF(Helper!$E$3="All",1,IF(C48=Helper!$E$3,1,0))</f>
        <v>1</v>
      </c>
    </row>
    <row r="49" spans="1:12" x14ac:dyDescent="0.3">
      <c r="A49" s="3" t="s">
        <v>1900</v>
      </c>
      <c r="B49" s="3" t="s">
        <v>1899</v>
      </c>
      <c r="C49" s="3" t="s">
        <v>0</v>
      </c>
      <c r="D49" s="7">
        <v>0.78</v>
      </c>
      <c r="E49" s="5">
        <v>50</v>
      </c>
      <c r="F49" s="5">
        <v>54</v>
      </c>
      <c r="G49" s="5">
        <v>41</v>
      </c>
      <c r="H49" s="5">
        <v>51</v>
      </c>
      <c r="I49" s="6">
        <f t="shared" si="1"/>
        <v>10</v>
      </c>
      <c r="J49">
        <f t="shared" si="2"/>
        <v>52</v>
      </c>
      <c r="K49" s="4" t="str">
        <f t="shared" si="0"/>
        <v>F</v>
      </c>
      <c r="L49">
        <f>IF(Helper!$E$3="All",1,IF(C49=Helper!$E$3,1,0))</f>
        <v>1</v>
      </c>
    </row>
    <row r="50" spans="1:12" x14ac:dyDescent="0.3">
      <c r="A50" s="3" t="s">
        <v>1898</v>
      </c>
      <c r="B50" s="3" t="s">
        <v>1897</v>
      </c>
      <c r="C50" s="3" t="s">
        <v>17</v>
      </c>
      <c r="D50" s="7">
        <v>0.76</v>
      </c>
      <c r="E50" s="5">
        <v>100</v>
      </c>
      <c r="F50" s="5">
        <v>89</v>
      </c>
      <c r="G50" s="5">
        <v>90</v>
      </c>
      <c r="H50" s="5">
        <v>65</v>
      </c>
      <c r="I50" s="6" t="str">
        <f t="shared" si="1"/>
        <v/>
      </c>
      <c r="J50">
        <f t="shared" si="2"/>
        <v>81.45</v>
      </c>
      <c r="K50" s="4" t="str">
        <f t="shared" si="0"/>
        <v>B</v>
      </c>
      <c r="L50">
        <f>IF(Helper!$E$3="All",1,IF(C50=Helper!$E$3,1,0))</f>
        <v>1</v>
      </c>
    </row>
    <row r="51" spans="1:12" x14ac:dyDescent="0.3">
      <c r="A51" s="3" t="s">
        <v>1896</v>
      </c>
      <c r="B51" s="3" t="s">
        <v>1895</v>
      </c>
      <c r="C51" s="3" t="s">
        <v>17</v>
      </c>
      <c r="D51" s="7">
        <v>0.8</v>
      </c>
      <c r="E51" s="5">
        <v>42</v>
      </c>
      <c r="F51" s="5">
        <v>42</v>
      </c>
      <c r="G51" s="5">
        <v>50</v>
      </c>
      <c r="H51" s="5">
        <v>90</v>
      </c>
      <c r="I51" s="6">
        <f t="shared" si="1"/>
        <v>40</v>
      </c>
      <c r="J51">
        <f t="shared" si="2"/>
        <v>70.2</v>
      </c>
      <c r="K51" s="4" t="str">
        <f t="shared" si="0"/>
        <v>C</v>
      </c>
      <c r="L51">
        <f>IF(Helper!$E$3="All",1,IF(C51=Helper!$E$3,1,0))</f>
        <v>1</v>
      </c>
    </row>
    <row r="52" spans="1:12" x14ac:dyDescent="0.3">
      <c r="A52" s="3" t="s">
        <v>1894</v>
      </c>
      <c r="B52" s="3" t="s">
        <v>1893</v>
      </c>
      <c r="C52" s="3" t="s">
        <v>0</v>
      </c>
      <c r="D52" s="7">
        <v>0.73</v>
      </c>
      <c r="E52" s="5">
        <v>98</v>
      </c>
      <c r="F52" s="5">
        <v>88</v>
      </c>
      <c r="G52" s="5">
        <v>52</v>
      </c>
      <c r="H52" s="5">
        <v>58</v>
      </c>
      <c r="I52" s="6" t="str">
        <f t="shared" si="1"/>
        <v/>
      </c>
      <c r="J52">
        <f t="shared" si="2"/>
        <v>63.3</v>
      </c>
      <c r="K52" s="4" t="str">
        <f t="shared" si="0"/>
        <v>D</v>
      </c>
      <c r="L52">
        <f>IF(Helper!$E$3="All",1,IF(C52=Helper!$E$3,1,0))</f>
        <v>1</v>
      </c>
    </row>
    <row r="53" spans="1:12" x14ac:dyDescent="0.3">
      <c r="A53" s="3" t="s">
        <v>1892</v>
      </c>
      <c r="B53" s="3" t="s">
        <v>1891</v>
      </c>
      <c r="C53" s="3" t="s">
        <v>17</v>
      </c>
      <c r="D53" s="7">
        <v>0.68</v>
      </c>
      <c r="E53" s="5">
        <v>45</v>
      </c>
      <c r="F53" s="5">
        <v>75</v>
      </c>
      <c r="G53" s="5">
        <v>49</v>
      </c>
      <c r="H53" s="5">
        <v>84</v>
      </c>
      <c r="I53" s="6">
        <f t="shared" si="1"/>
        <v>35</v>
      </c>
      <c r="J53">
        <f t="shared" si="2"/>
        <v>59.2</v>
      </c>
      <c r="K53" s="4" t="str">
        <f t="shared" si="0"/>
        <v>F</v>
      </c>
      <c r="L53">
        <f>IF(Helper!$E$3="All",1,IF(C53=Helper!$E$3,1,0))</f>
        <v>1</v>
      </c>
    </row>
    <row r="54" spans="1:12" x14ac:dyDescent="0.3">
      <c r="A54" s="3" t="s">
        <v>1890</v>
      </c>
      <c r="B54" s="3" t="s">
        <v>1889</v>
      </c>
      <c r="C54" s="3" t="s">
        <v>0</v>
      </c>
      <c r="D54" s="7">
        <v>0.6</v>
      </c>
      <c r="E54" s="5">
        <v>48</v>
      </c>
      <c r="F54" s="5">
        <v>43</v>
      </c>
      <c r="G54" s="5">
        <v>53</v>
      </c>
      <c r="H54" s="5">
        <v>99</v>
      </c>
      <c r="I54" s="6">
        <f t="shared" si="1"/>
        <v>46</v>
      </c>
      <c r="J54">
        <f t="shared" si="2"/>
        <v>65.350000000000009</v>
      </c>
      <c r="K54" s="4" t="str">
        <f t="shared" si="0"/>
        <v>D</v>
      </c>
      <c r="L54">
        <f>IF(Helper!$E$3="All",1,IF(C54=Helper!$E$3,1,0))</f>
        <v>1</v>
      </c>
    </row>
    <row r="55" spans="1:12" x14ac:dyDescent="0.3">
      <c r="A55" s="3" t="s">
        <v>1888</v>
      </c>
      <c r="B55" s="3" t="s">
        <v>1887</v>
      </c>
      <c r="C55" s="3" t="s">
        <v>3</v>
      </c>
      <c r="D55" s="7">
        <v>0.72</v>
      </c>
      <c r="E55" s="5">
        <v>45</v>
      </c>
      <c r="F55" s="5">
        <v>53</v>
      </c>
      <c r="G55" s="5">
        <v>57</v>
      </c>
      <c r="H55" s="5">
        <v>46</v>
      </c>
      <c r="I55" s="6" t="str">
        <f t="shared" si="1"/>
        <v/>
      </c>
      <c r="J55">
        <f t="shared" si="2"/>
        <v>56.099999999999994</v>
      </c>
      <c r="K55" s="4" t="str">
        <f t="shared" si="0"/>
        <v>F</v>
      </c>
      <c r="L55">
        <f>IF(Helper!$E$3="All",1,IF(C55=Helper!$E$3,1,0))</f>
        <v>1</v>
      </c>
    </row>
    <row r="56" spans="1:12" x14ac:dyDescent="0.3">
      <c r="A56" s="3" t="s">
        <v>1886</v>
      </c>
      <c r="B56" s="3" t="s">
        <v>1885</v>
      </c>
      <c r="C56" s="3" t="s">
        <v>0</v>
      </c>
      <c r="D56" s="7">
        <v>0.63</v>
      </c>
      <c r="E56" s="5">
        <v>48</v>
      </c>
      <c r="F56" s="5">
        <v>80</v>
      </c>
      <c r="G56" s="5">
        <v>90</v>
      </c>
      <c r="H56" s="5">
        <v>86</v>
      </c>
      <c r="I56" s="6" t="str">
        <f t="shared" si="1"/>
        <v/>
      </c>
      <c r="J56">
        <f t="shared" si="2"/>
        <v>76.8</v>
      </c>
      <c r="K56" s="4" t="str">
        <f t="shared" si="0"/>
        <v>C</v>
      </c>
      <c r="L56">
        <f>IF(Helper!$E$3="All",1,IF(C56=Helper!$E$3,1,0))</f>
        <v>1</v>
      </c>
    </row>
    <row r="57" spans="1:12" x14ac:dyDescent="0.3">
      <c r="A57" s="3" t="s">
        <v>1884</v>
      </c>
      <c r="B57" s="3" t="s">
        <v>1883</v>
      </c>
      <c r="C57" s="3" t="s">
        <v>3</v>
      </c>
      <c r="D57" s="7">
        <v>0.6</v>
      </c>
      <c r="E57" s="5">
        <v>78</v>
      </c>
      <c r="F57" s="5">
        <v>80</v>
      </c>
      <c r="G57" s="5">
        <v>93</v>
      </c>
      <c r="H57" s="5">
        <v>94</v>
      </c>
      <c r="I57" s="6" t="str">
        <f t="shared" si="1"/>
        <v/>
      </c>
      <c r="J57">
        <f t="shared" si="2"/>
        <v>82.699999999999989</v>
      </c>
      <c r="K57" s="4" t="str">
        <f t="shared" si="0"/>
        <v>B</v>
      </c>
      <c r="L57">
        <f>IF(Helper!$E$3="All",1,IF(C57=Helper!$E$3,1,0))</f>
        <v>1</v>
      </c>
    </row>
    <row r="58" spans="1:12" x14ac:dyDescent="0.3">
      <c r="A58" s="3" t="s">
        <v>1882</v>
      </c>
      <c r="B58" s="3" t="s">
        <v>1881</v>
      </c>
      <c r="C58" s="3" t="s">
        <v>3</v>
      </c>
      <c r="D58" s="7">
        <v>0.99</v>
      </c>
      <c r="E58" s="5">
        <v>70</v>
      </c>
      <c r="F58" s="5">
        <v>64</v>
      </c>
      <c r="G58" s="5">
        <v>48</v>
      </c>
      <c r="H58" s="5">
        <v>46</v>
      </c>
      <c r="I58" s="6" t="str">
        <f t="shared" si="1"/>
        <v/>
      </c>
      <c r="J58">
        <f t="shared" si="2"/>
        <v>54.3</v>
      </c>
      <c r="K58" s="4" t="str">
        <f t="shared" si="0"/>
        <v>F</v>
      </c>
      <c r="L58">
        <f>IF(Helper!$E$3="All",1,IF(C58=Helper!$E$3,1,0))</f>
        <v>1</v>
      </c>
    </row>
    <row r="59" spans="1:12" x14ac:dyDescent="0.3">
      <c r="A59" s="3" t="s">
        <v>1880</v>
      </c>
      <c r="B59" s="3" t="s">
        <v>1879</v>
      </c>
      <c r="C59" s="3" t="s">
        <v>8</v>
      </c>
      <c r="D59" s="7">
        <v>0.91</v>
      </c>
      <c r="E59" s="5">
        <v>71</v>
      </c>
      <c r="F59" s="5">
        <v>97</v>
      </c>
      <c r="G59" s="5">
        <v>96</v>
      </c>
      <c r="H59" s="5">
        <v>65</v>
      </c>
      <c r="I59" s="6" t="str">
        <f t="shared" si="1"/>
        <v/>
      </c>
      <c r="J59">
        <f t="shared" si="2"/>
        <v>82.8</v>
      </c>
      <c r="K59" s="4" t="str">
        <f t="shared" si="0"/>
        <v>B</v>
      </c>
      <c r="L59">
        <f>IF(Helper!$E$3="All",1,IF(C59=Helper!$E$3,1,0))</f>
        <v>1</v>
      </c>
    </row>
    <row r="60" spans="1:12" x14ac:dyDescent="0.3">
      <c r="A60" s="3" t="s">
        <v>1878</v>
      </c>
      <c r="B60" s="3" t="s">
        <v>1877</v>
      </c>
      <c r="C60" s="3" t="s">
        <v>0</v>
      </c>
      <c r="D60" s="7">
        <v>0.93</v>
      </c>
      <c r="E60" s="5">
        <v>80</v>
      </c>
      <c r="F60" s="5">
        <v>94</v>
      </c>
      <c r="G60" s="5">
        <v>78</v>
      </c>
      <c r="H60" s="5">
        <v>79</v>
      </c>
      <c r="I60" s="6" t="str">
        <f t="shared" si="1"/>
        <v/>
      </c>
      <c r="J60">
        <f t="shared" si="2"/>
        <v>81.5</v>
      </c>
      <c r="K60" s="4" t="str">
        <f t="shared" si="0"/>
        <v>B</v>
      </c>
      <c r="L60">
        <f>IF(Helper!$E$3="All",1,IF(C60=Helper!$E$3,1,0))</f>
        <v>1</v>
      </c>
    </row>
    <row r="61" spans="1:12" x14ac:dyDescent="0.3">
      <c r="A61" s="3" t="s">
        <v>1876</v>
      </c>
      <c r="B61" s="3" t="s">
        <v>1875</v>
      </c>
      <c r="C61" s="3" t="s">
        <v>8</v>
      </c>
      <c r="D61" s="7">
        <v>0.87</v>
      </c>
      <c r="E61" s="5">
        <v>89</v>
      </c>
      <c r="F61" s="5">
        <v>89</v>
      </c>
      <c r="G61" s="5">
        <v>67</v>
      </c>
      <c r="H61" s="5">
        <v>44</v>
      </c>
      <c r="I61" s="6" t="str">
        <f t="shared" si="1"/>
        <v/>
      </c>
      <c r="J61">
        <f t="shared" si="2"/>
        <v>63.300000000000004</v>
      </c>
      <c r="K61" s="4" t="str">
        <f t="shared" si="0"/>
        <v>D</v>
      </c>
      <c r="L61">
        <f>IF(Helper!$E$3="All",1,IF(C61=Helper!$E$3,1,0))</f>
        <v>1</v>
      </c>
    </row>
    <row r="62" spans="1:12" x14ac:dyDescent="0.3">
      <c r="A62" s="3" t="s">
        <v>1874</v>
      </c>
      <c r="B62" s="3" t="s">
        <v>1873</v>
      </c>
      <c r="C62" s="3" t="s">
        <v>0</v>
      </c>
      <c r="D62" s="7">
        <v>0.9</v>
      </c>
      <c r="E62" s="5">
        <v>51</v>
      </c>
      <c r="F62" s="5">
        <v>49</v>
      </c>
      <c r="G62" s="5">
        <v>42</v>
      </c>
      <c r="H62" s="5">
        <v>60</v>
      </c>
      <c r="I62" s="6">
        <f t="shared" si="1"/>
        <v>18</v>
      </c>
      <c r="J62">
        <f t="shared" si="2"/>
        <v>55.8</v>
      </c>
      <c r="K62" s="4" t="str">
        <f t="shared" si="0"/>
        <v>F</v>
      </c>
      <c r="L62">
        <f>IF(Helper!$E$3="All",1,IF(C62=Helper!$E$3,1,0))</f>
        <v>1</v>
      </c>
    </row>
    <row r="63" spans="1:12" x14ac:dyDescent="0.3">
      <c r="A63" s="3" t="s">
        <v>1872</v>
      </c>
      <c r="B63" s="3" t="s">
        <v>1871</v>
      </c>
      <c r="C63" s="3" t="s">
        <v>0</v>
      </c>
      <c r="D63" s="7">
        <v>0.67</v>
      </c>
      <c r="E63" s="5">
        <v>47</v>
      </c>
      <c r="F63" s="5">
        <v>60</v>
      </c>
      <c r="G63" s="5">
        <v>59</v>
      </c>
      <c r="H63" s="5">
        <v>53</v>
      </c>
      <c r="I63" s="6" t="str">
        <f t="shared" si="1"/>
        <v/>
      </c>
      <c r="J63">
        <f t="shared" si="2"/>
        <v>50.15</v>
      </c>
      <c r="K63" s="4" t="str">
        <f t="shared" si="0"/>
        <v>F</v>
      </c>
      <c r="L63">
        <f>IF(Helper!$E$3="All",1,IF(C63=Helper!$E$3,1,0))</f>
        <v>1</v>
      </c>
    </row>
    <row r="64" spans="1:12" x14ac:dyDescent="0.3">
      <c r="A64" s="3" t="s">
        <v>1870</v>
      </c>
      <c r="B64" s="3" t="s">
        <v>1869</v>
      </c>
      <c r="C64" s="3" t="s">
        <v>8</v>
      </c>
      <c r="D64" s="7">
        <v>0.98</v>
      </c>
      <c r="E64" s="5">
        <v>47</v>
      </c>
      <c r="F64" s="5">
        <v>75</v>
      </c>
      <c r="G64" s="5">
        <v>45</v>
      </c>
      <c r="H64" s="5">
        <v>43</v>
      </c>
      <c r="I64" s="6" t="str">
        <f t="shared" si="1"/>
        <v/>
      </c>
      <c r="J64">
        <f t="shared" si="2"/>
        <v>51.3</v>
      </c>
      <c r="K64" s="4" t="str">
        <f t="shared" si="0"/>
        <v>F</v>
      </c>
      <c r="L64">
        <f>IF(Helper!$E$3="All",1,IF(C64=Helper!$E$3,1,0))</f>
        <v>1</v>
      </c>
    </row>
    <row r="65" spans="1:12" x14ac:dyDescent="0.3">
      <c r="A65" s="3" t="s">
        <v>1868</v>
      </c>
      <c r="B65" s="3" t="s">
        <v>1867</v>
      </c>
      <c r="C65" s="3" t="s">
        <v>8</v>
      </c>
      <c r="D65" s="7">
        <v>0.85</v>
      </c>
      <c r="E65" s="5">
        <v>89</v>
      </c>
      <c r="F65" s="5">
        <v>51</v>
      </c>
      <c r="G65" s="5">
        <v>66</v>
      </c>
      <c r="H65" s="5">
        <v>62</v>
      </c>
      <c r="I65" s="6" t="str">
        <f t="shared" si="1"/>
        <v/>
      </c>
      <c r="J65">
        <f t="shared" si="2"/>
        <v>68.2</v>
      </c>
      <c r="K65" s="4" t="str">
        <f t="shared" si="0"/>
        <v>D</v>
      </c>
      <c r="L65">
        <f>IF(Helper!$E$3="All",1,IF(C65=Helper!$E$3,1,0))</f>
        <v>1</v>
      </c>
    </row>
    <row r="66" spans="1:12" x14ac:dyDescent="0.3">
      <c r="A66" s="3" t="s">
        <v>1866</v>
      </c>
      <c r="B66" s="3" t="s">
        <v>1865</v>
      </c>
      <c r="C66" s="3" t="s">
        <v>0</v>
      </c>
      <c r="D66" s="7">
        <v>0.93</v>
      </c>
      <c r="E66" s="5">
        <v>67</v>
      </c>
      <c r="F66" s="5">
        <v>66</v>
      </c>
      <c r="G66" s="5">
        <v>92</v>
      </c>
      <c r="H66" s="5">
        <v>81</v>
      </c>
      <c r="I66" s="6" t="str">
        <f t="shared" ref="I66:I129" si="3">IF(H66&gt;G66*1.15,H66-G66,IF(H66&lt;G66*0.65,H66-G66,""))</f>
        <v/>
      </c>
      <c r="J66">
        <f t="shared" ref="J66:J129" si="4">IF(ISBLANK(D66),"",IF(D66&gt;0.7,10,0)+(E66/100*5)+(F66/100*5)+(G66/100*40)+(H66/100*40))</f>
        <v>85.850000000000009</v>
      </c>
      <c r="K66" s="4" t="str">
        <f t="shared" ref="K66:K129" si="5">IF(J66&gt;=90,"A",IF(J66&gt;=80,"B",IF(J66&gt;=70,"C",IF(J66&gt;=60,"D","F"))))</f>
        <v>B</v>
      </c>
      <c r="L66">
        <f>IF(Helper!$E$3="All",1,IF(C66=Helper!$E$3,1,0))</f>
        <v>1</v>
      </c>
    </row>
    <row r="67" spans="1:12" x14ac:dyDescent="0.3">
      <c r="A67" s="3" t="s">
        <v>1864</v>
      </c>
      <c r="B67" s="3" t="s">
        <v>1863</v>
      </c>
      <c r="C67" s="3" t="s">
        <v>17</v>
      </c>
      <c r="D67" s="7">
        <v>0.62</v>
      </c>
      <c r="E67" s="5">
        <v>59</v>
      </c>
      <c r="F67" s="5">
        <v>79</v>
      </c>
      <c r="G67" s="5">
        <v>41</v>
      </c>
      <c r="H67" s="5">
        <v>59</v>
      </c>
      <c r="I67" s="6">
        <f t="shared" si="3"/>
        <v>18</v>
      </c>
      <c r="J67">
        <f t="shared" si="4"/>
        <v>46.899999999999991</v>
      </c>
      <c r="K67" s="4" t="str">
        <f t="shared" si="5"/>
        <v>F</v>
      </c>
      <c r="L67">
        <f>IF(Helper!$E$3="All",1,IF(C67=Helper!$E$3,1,0))</f>
        <v>1</v>
      </c>
    </row>
    <row r="68" spans="1:12" x14ac:dyDescent="0.3">
      <c r="A68" s="3" t="s">
        <v>1862</v>
      </c>
      <c r="B68" s="3" t="s">
        <v>1861</v>
      </c>
      <c r="C68" s="3" t="s">
        <v>3</v>
      </c>
      <c r="D68" s="7">
        <v>0.71</v>
      </c>
      <c r="E68" s="5">
        <v>86</v>
      </c>
      <c r="F68" s="5">
        <v>41</v>
      </c>
      <c r="G68" s="5">
        <v>68</v>
      </c>
      <c r="H68" s="5">
        <v>54</v>
      </c>
      <c r="I68" s="6" t="str">
        <f t="shared" si="3"/>
        <v/>
      </c>
      <c r="J68">
        <f t="shared" si="4"/>
        <v>65.150000000000006</v>
      </c>
      <c r="K68" s="4" t="str">
        <f t="shared" si="5"/>
        <v>D</v>
      </c>
      <c r="L68">
        <f>IF(Helper!$E$3="All",1,IF(C68=Helper!$E$3,1,0))</f>
        <v>1</v>
      </c>
    </row>
    <row r="69" spans="1:12" x14ac:dyDescent="0.3">
      <c r="A69" s="3" t="s">
        <v>1860</v>
      </c>
      <c r="B69" s="3" t="s">
        <v>1859</v>
      </c>
      <c r="C69" s="3" t="s">
        <v>8</v>
      </c>
      <c r="D69" s="7">
        <v>0.6</v>
      </c>
      <c r="E69" s="5">
        <v>98</v>
      </c>
      <c r="F69" s="5">
        <v>93</v>
      </c>
      <c r="G69" s="5">
        <v>77</v>
      </c>
      <c r="H69" s="5">
        <v>89</v>
      </c>
      <c r="I69" s="6">
        <f t="shared" si="3"/>
        <v>12</v>
      </c>
      <c r="J69">
        <f t="shared" si="4"/>
        <v>75.95</v>
      </c>
      <c r="K69" s="4" t="str">
        <f t="shared" si="5"/>
        <v>C</v>
      </c>
      <c r="L69">
        <f>IF(Helper!$E$3="All",1,IF(C69=Helper!$E$3,1,0))</f>
        <v>1</v>
      </c>
    </row>
    <row r="70" spans="1:12" x14ac:dyDescent="0.3">
      <c r="A70" s="3" t="s">
        <v>1858</v>
      </c>
      <c r="B70" s="3" t="s">
        <v>1857</v>
      </c>
      <c r="C70" s="3" t="s">
        <v>3</v>
      </c>
      <c r="D70" s="7">
        <v>0.64</v>
      </c>
      <c r="E70" s="5">
        <v>46</v>
      </c>
      <c r="F70" s="5">
        <v>52</v>
      </c>
      <c r="G70" s="5">
        <v>42</v>
      </c>
      <c r="H70" s="5">
        <v>91</v>
      </c>
      <c r="I70" s="6">
        <f t="shared" si="3"/>
        <v>49</v>
      </c>
      <c r="J70">
        <f t="shared" si="4"/>
        <v>58.1</v>
      </c>
      <c r="K70" s="4" t="str">
        <f t="shared" si="5"/>
        <v>F</v>
      </c>
      <c r="L70">
        <f>IF(Helper!$E$3="All",1,IF(C70=Helper!$E$3,1,0))</f>
        <v>1</v>
      </c>
    </row>
    <row r="71" spans="1:12" x14ac:dyDescent="0.3">
      <c r="A71" s="3" t="s">
        <v>1856</v>
      </c>
      <c r="B71" s="3" t="s">
        <v>1855</v>
      </c>
      <c r="C71" s="3" t="s">
        <v>17</v>
      </c>
      <c r="D71" s="7">
        <v>0.89</v>
      </c>
      <c r="E71" s="5">
        <v>50</v>
      </c>
      <c r="F71" s="5">
        <v>92</v>
      </c>
      <c r="G71" s="5">
        <v>55</v>
      </c>
      <c r="H71" s="5">
        <v>84</v>
      </c>
      <c r="I71" s="6">
        <f t="shared" si="3"/>
        <v>29</v>
      </c>
      <c r="J71">
        <f t="shared" si="4"/>
        <v>72.7</v>
      </c>
      <c r="K71" s="4" t="str">
        <f t="shared" si="5"/>
        <v>C</v>
      </c>
      <c r="L71">
        <f>IF(Helper!$E$3="All",1,IF(C71=Helper!$E$3,1,0))</f>
        <v>1</v>
      </c>
    </row>
    <row r="72" spans="1:12" x14ac:dyDescent="0.3">
      <c r="A72" s="3" t="s">
        <v>1854</v>
      </c>
      <c r="B72" s="3" t="s">
        <v>521</v>
      </c>
      <c r="C72" s="3" t="s">
        <v>17</v>
      </c>
      <c r="D72" s="7">
        <v>0.89</v>
      </c>
      <c r="E72" s="5">
        <v>59</v>
      </c>
      <c r="F72" s="5">
        <v>71</v>
      </c>
      <c r="G72" s="5">
        <v>69</v>
      </c>
      <c r="H72" s="5">
        <v>68</v>
      </c>
      <c r="I72" s="6" t="str">
        <f t="shared" si="3"/>
        <v/>
      </c>
      <c r="J72">
        <f t="shared" si="4"/>
        <v>71.3</v>
      </c>
      <c r="K72" s="4" t="str">
        <f t="shared" si="5"/>
        <v>C</v>
      </c>
      <c r="L72">
        <f>IF(Helper!$E$3="All",1,IF(C72=Helper!$E$3,1,0))</f>
        <v>1</v>
      </c>
    </row>
    <row r="73" spans="1:12" x14ac:dyDescent="0.3">
      <c r="A73" s="3" t="s">
        <v>1853</v>
      </c>
      <c r="B73" s="3" t="s">
        <v>1852</v>
      </c>
      <c r="C73" s="3" t="s">
        <v>17</v>
      </c>
      <c r="D73" s="7">
        <v>0.76</v>
      </c>
      <c r="E73" s="5">
        <v>55</v>
      </c>
      <c r="F73" s="5">
        <v>70</v>
      </c>
      <c r="G73" s="5">
        <v>79</v>
      </c>
      <c r="H73" s="5">
        <v>47</v>
      </c>
      <c r="I73" s="6">
        <f t="shared" si="3"/>
        <v>-32</v>
      </c>
      <c r="J73">
        <f t="shared" si="4"/>
        <v>66.650000000000006</v>
      </c>
      <c r="K73" s="4" t="str">
        <f t="shared" si="5"/>
        <v>D</v>
      </c>
      <c r="L73">
        <f>IF(Helper!$E$3="All",1,IF(C73=Helper!$E$3,1,0))</f>
        <v>1</v>
      </c>
    </row>
    <row r="74" spans="1:12" x14ac:dyDescent="0.3">
      <c r="A74" s="3" t="s">
        <v>1851</v>
      </c>
      <c r="B74" s="3" t="s">
        <v>1850</v>
      </c>
      <c r="C74" s="3" t="s">
        <v>8</v>
      </c>
      <c r="D74" s="7">
        <v>0.82000000000000006</v>
      </c>
      <c r="E74" s="5">
        <v>43</v>
      </c>
      <c r="F74" s="5">
        <v>55</v>
      </c>
      <c r="G74" s="5">
        <v>41</v>
      </c>
      <c r="H74" s="5">
        <v>80</v>
      </c>
      <c r="I74" s="6">
        <f t="shared" si="3"/>
        <v>39</v>
      </c>
      <c r="J74">
        <f t="shared" si="4"/>
        <v>63.3</v>
      </c>
      <c r="K74" s="4" t="str">
        <f t="shared" si="5"/>
        <v>D</v>
      </c>
      <c r="L74">
        <f>IF(Helper!$E$3="All",1,IF(C74=Helper!$E$3,1,0))</f>
        <v>1</v>
      </c>
    </row>
    <row r="75" spans="1:12" x14ac:dyDescent="0.3">
      <c r="A75" s="3" t="s">
        <v>1849</v>
      </c>
      <c r="B75" s="3" t="s">
        <v>1848</v>
      </c>
      <c r="C75" s="3" t="s">
        <v>17</v>
      </c>
      <c r="D75" s="7">
        <v>0.74</v>
      </c>
      <c r="E75" s="5">
        <v>45</v>
      </c>
      <c r="F75" s="5">
        <v>71</v>
      </c>
      <c r="G75" s="5">
        <v>56</v>
      </c>
      <c r="H75" s="5">
        <v>87</v>
      </c>
      <c r="I75" s="6">
        <f t="shared" si="3"/>
        <v>31</v>
      </c>
      <c r="J75">
        <f t="shared" si="4"/>
        <v>73</v>
      </c>
      <c r="K75" s="4" t="str">
        <f t="shared" si="5"/>
        <v>C</v>
      </c>
      <c r="L75">
        <f>IF(Helper!$E$3="All",1,IF(C75=Helper!$E$3,1,0))</f>
        <v>1</v>
      </c>
    </row>
    <row r="76" spans="1:12" x14ac:dyDescent="0.3">
      <c r="A76" s="3" t="s">
        <v>1847</v>
      </c>
      <c r="B76" s="3" t="s">
        <v>1846</v>
      </c>
      <c r="C76" s="3" t="s">
        <v>8</v>
      </c>
      <c r="D76" s="7">
        <v>0.96</v>
      </c>
      <c r="E76" s="5">
        <v>97</v>
      </c>
      <c r="F76" s="5">
        <v>71</v>
      </c>
      <c r="G76" s="5">
        <v>80</v>
      </c>
      <c r="H76" s="5">
        <v>58</v>
      </c>
      <c r="I76" s="6" t="str">
        <f t="shared" si="3"/>
        <v/>
      </c>
      <c r="J76">
        <f t="shared" si="4"/>
        <v>73.599999999999994</v>
      </c>
      <c r="K76" s="4" t="str">
        <f t="shared" si="5"/>
        <v>C</v>
      </c>
      <c r="L76">
        <f>IF(Helper!$E$3="All",1,IF(C76=Helper!$E$3,1,0))</f>
        <v>1</v>
      </c>
    </row>
    <row r="77" spans="1:12" x14ac:dyDescent="0.3">
      <c r="A77" s="3" t="s">
        <v>1845</v>
      </c>
      <c r="B77" s="3" t="s">
        <v>1844</v>
      </c>
      <c r="C77" s="3" t="s">
        <v>17</v>
      </c>
      <c r="D77" s="7">
        <v>0.8</v>
      </c>
      <c r="E77" s="5">
        <v>61</v>
      </c>
      <c r="F77" s="5">
        <v>99</v>
      </c>
      <c r="G77" s="5">
        <v>51</v>
      </c>
      <c r="H77" s="5">
        <v>87</v>
      </c>
      <c r="I77" s="6">
        <f t="shared" si="3"/>
        <v>36</v>
      </c>
      <c r="J77">
        <f t="shared" si="4"/>
        <v>73.199999999999989</v>
      </c>
      <c r="K77" s="4" t="str">
        <f t="shared" si="5"/>
        <v>C</v>
      </c>
      <c r="L77">
        <f>IF(Helper!$E$3="All",1,IF(C77=Helper!$E$3,1,0))</f>
        <v>1</v>
      </c>
    </row>
    <row r="78" spans="1:12" x14ac:dyDescent="0.3">
      <c r="A78" s="3" t="s">
        <v>1843</v>
      </c>
      <c r="B78" s="3" t="s">
        <v>1842</v>
      </c>
      <c r="C78" s="3" t="s">
        <v>3</v>
      </c>
      <c r="D78" s="7">
        <v>0.73</v>
      </c>
      <c r="E78" s="5">
        <v>65</v>
      </c>
      <c r="F78" s="5">
        <v>73</v>
      </c>
      <c r="G78" s="5">
        <v>74</v>
      </c>
      <c r="H78" s="5">
        <v>78</v>
      </c>
      <c r="I78" s="6" t="str">
        <f t="shared" si="3"/>
        <v/>
      </c>
      <c r="J78">
        <f t="shared" si="4"/>
        <v>77.7</v>
      </c>
      <c r="K78" s="4" t="str">
        <f t="shared" si="5"/>
        <v>C</v>
      </c>
      <c r="L78">
        <f>IF(Helper!$E$3="All",1,IF(C78=Helper!$E$3,1,0))</f>
        <v>1</v>
      </c>
    </row>
    <row r="79" spans="1:12" x14ac:dyDescent="0.3">
      <c r="A79" s="3" t="s">
        <v>1841</v>
      </c>
      <c r="B79" s="3" t="s">
        <v>1840</v>
      </c>
      <c r="C79" s="3" t="s">
        <v>3</v>
      </c>
      <c r="D79" s="7">
        <v>0.61</v>
      </c>
      <c r="E79" s="5">
        <v>42</v>
      </c>
      <c r="F79" s="5">
        <v>50</v>
      </c>
      <c r="G79" s="5">
        <v>82</v>
      </c>
      <c r="H79" s="5">
        <v>85</v>
      </c>
      <c r="I79" s="6" t="str">
        <f t="shared" si="3"/>
        <v/>
      </c>
      <c r="J79">
        <f t="shared" si="4"/>
        <v>71.400000000000006</v>
      </c>
      <c r="K79" s="4" t="str">
        <f t="shared" si="5"/>
        <v>C</v>
      </c>
      <c r="L79">
        <f>IF(Helper!$E$3="All",1,IF(C79=Helper!$E$3,1,0))</f>
        <v>1</v>
      </c>
    </row>
    <row r="80" spans="1:12" x14ac:dyDescent="0.3">
      <c r="A80" s="3" t="s">
        <v>1839</v>
      </c>
      <c r="B80" s="3" t="s">
        <v>1838</v>
      </c>
      <c r="C80" s="3" t="s">
        <v>0</v>
      </c>
      <c r="D80" s="7">
        <v>0.70000000000000007</v>
      </c>
      <c r="E80" s="5">
        <v>80</v>
      </c>
      <c r="F80" s="5">
        <v>49</v>
      </c>
      <c r="G80" s="5">
        <v>40</v>
      </c>
      <c r="H80" s="5">
        <v>67</v>
      </c>
      <c r="I80" s="6">
        <f t="shared" si="3"/>
        <v>27</v>
      </c>
      <c r="J80">
        <f t="shared" si="4"/>
        <v>49.25</v>
      </c>
      <c r="K80" s="4" t="str">
        <f t="shared" si="5"/>
        <v>F</v>
      </c>
      <c r="L80">
        <f>IF(Helper!$E$3="All",1,IF(C80=Helper!$E$3,1,0))</f>
        <v>1</v>
      </c>
    </row>
    <row r="81" spans="1:12" x14ac:dyDescent="0.3">
      <c r="A81" s="3" t="s">
        <v>1837</v>
      </c>
      <c r="B81" s="3" t="s">
        <v>1836</v>
      </c>
      <c r="C81" s="3" t="s">
        <v>3</v>
      </c>
      <c r="D81" s="7">
        <v>0.98</v>
      </c>
      <c r="E81" s="5">
        <v>99</v>
      </c>
      <c r="F81" s="5">
        <v>54</v>
      </c>
      <c r="G81" s="5">
        <v>94</v>
      </c>
      <c r="H81" s="5">
        <v>85</v>
      </c>
      <c r="I81" s="6" t="str">
        <f t="shared" si="3"/>
        <v/>
      </c>
      <c r="J81">
        <f t="shared" si="4"/>
        <v>89.25</v>
      </c>
      <c r="K81" s="4" t="str">
        <f t="shared" si="5"/>
        <v>B</v>
      </c>
      <c r="L81">
        <f>IF(Helper!$E$3="All",1,IF(C81=Helper!$E$3,1,0))</f>
        <v>1</v>
      </c>
    </row>
    <row r="82" spans="1:12" x14ac:dyDescent="0.3">
      <c r="A82" s="3" t="s">
        <v>1835</v>
      </c>
      <c r="B82" s="3" t="s">
        <v>1834</v>
      </c>
      <c r="C82" s="3" t="s">
        <v>0</v>
      </c>
      <c r="D82" s="7">
        <v>0.97</v>
      </c>
      <c r="E82" s="5">
        <v>81</v>
      </c>
      <c r="F82" s="5">
        <v>56</v>
      </c>
      <c r="G82" s="5">
        <v>84</v>
      </c>
      <c r="H82" s="5">
        <v>96</v>
      </c>
      <c r="I82" s="6" t="str">
        <f t="shared" si="3"/>
        <v/>
      </c>
      <c r="J82">
        <f t="shared" si="4"/>
        <v>88.85</v>
      </c>
      <c r="K82" s="4" t="str">
        <f t="shared" si="5"/>
        <v>B</v>
      </c>
      <c r="L82">
        <f>IF(Helper!$E$3="All",1,IF(C82=Helper!$E$3,1,0))</f>
        <v>1</v>
      </c>
    </row>
    <row r="83" spans="1:12" x14ac:dyDescent="0.3">
      <c r="A83" s="3" t="s">
        <v>1833</v>
      </c>
      <c r="B83" s="3" t="s">
        <v>1832</v>
      </c>
      <c r="C83" s="3" t="s">
        <v>3</v>
      </c>
      <c r="D83" s="7">
        <v>0.93</v>
      </c>
      <c r="E83" s="5">
        <v>53</v>
      </c>
      <c r="F83" s="5">
        <v>79</v>
      </c>
      <c r="G83" s="5">
        <v>54</v>
      </c>
      <c r="H83" s="5">
        <v>66</v>
      </c>
      <c r="I83" s="6">
        <f t="shared" si="3"/>
        <v>12</v>
      </c>
      <c r="J83">
        <f t="shared" si="4"/>
        <v>64.600000000000009</v>
      </c>
      <c r="K83" s="4" t="str">
        <f t="shared" si="5"/>
        <v>D</v>
      </c>
      <c r="L83">
        <f>IF(Helper!$E$3="All",1,IF(C83=Helper!$E$3,1,0))</f>
        <v>1</v>
      </c>
    </row>
    <row r="84" spans="1:12" x14ac:dyDescent="0.3">
      <c r="A84" s="3" t="s">
        <v>1831</v>
      </c>
      <c r="B84" s="3" t="s">
        <v>1830</v>
      </c>
      <c r="C84" s="3" t="s">
        <v>8</v>
      </c>
      <c r="D84" s="7">
        <v>0.97</v>
      </c>
      <c r="E84" s="5">
        <v>50</v>
      </c>
      <c r="F84" s="5">
        <v>57</v>
      </c>
      <c r="G84" s="5">
        <v>65</v>
      </c>
      <c r="H84" s="5">
        <v>43</v>
      </c>
      <c r="I84" s="6" t="str">
        <f t="shared" si="3"/>
        <v/>
      </c>
      <c r="J84">
        <f t="shared" si="4"/>
        <v>58.55</v>
      </c>
      <c r="K84" s="4" t="str">
        <f t="shared" si="5"/>
        <v>F</v>
      </c>
      <c r="L84">
        <f>IF(Helper!$E$3="All",1,IF(C84=Helper!$E$3,1,0))</f>
        <v>1</v>
      </c>
    </row>
    <row r="85" spans="1:12" x14ac:dyDescent="0.3">
      <c r="A85" s="3" t="s">
        <v>1829</v>
      </c>
      <c r="B85" s="3" t="s">
        <v>1828</v>
      </c>
      <c r="C85" s="3" t="s">
        <v>3</v>
      </c>
      <c r="D85" s="7">
        <v>0.93</v>
      </c>
      <c r="E85" s="5">
        <v>57</v>
      </c>
      <c r="F85" s="5">
        <v>94</v>
      </c>
      <c r="G85" s="5">
        <v>76</v>
      </c>
      <c r="H85" s="5">
        <v>97</v>
      </c>
      <c r="I85" s="6">
        <f t="shared" si="3"/>
        <v>21</v>
      </c>
      <c r="J85">
        <f t="shared" si="4"/>
        <v>86.75</v>
      </c>
      <c r="K85" s="4" t="str">
        <f t="shared" si="5"/>
        <v>B</v>
      </c>
      <c r="L85">
        <f>IF(Helper!$E$3="All",1,IF(C85=Helper!$E$3,1,0))</f>
        <v>1</v>
      </c>
    </row>
    <row r="86" spans="1:12" x14ac:dyDescent="0.3">
      <c r="A86" s="3" t="s">
        <v>1827</v>
      </c>
      <c r="B86" s="3" t="s">
        <v>1826</v>
      </c>
      <c r="C86" s="3" t="s">
        <v>0</v>
      </c>
      <c r="D86" s="7">
        <v>0.77</v>
      </c>
      <c r="E86" s="5">
        <v>93</v>
      </c>
      <c r="F86" s="5">
        <v>48</v>
      </c>
      <c r="G86" s="5">
        <v>60</v>
      </c>
      <c r="H86" s="5">
        <v>54</v>
      </c>
      <c r="I86" s="6" t="str">
        <f t="shared" si="3"/>
        <v/>
      </c>
      <c r="J86">
        <f t="shared" si="4"/>
        <v>62.65</v>
      </c>
      <c r="K86" s="4" t="str">
        <f t="shared" si="5"/>
        <v>D</v>
      </c>
      <c r="L86">
        <f>IF(Helper!$E$3="All",1,IF(C86=Helper!$E$3,1,0))</f>
        <v>1</v>
      </c>
    </row>
    <row r="87" spans="1:12" x14ac:dyDescent="0.3">
      <c r="A87" s="3" t="s">
        <v>1825</v>
      </c>
      <c r="B87" s="3" t="s">
        <v>1824</v>
      </c>
      <c r="C87" s="3" t="s">
        <v>0</v>
      </c>
      <c r="D87" s="7">
        <v>0.89</v>
      </c>
      <c r="E87" s="5">
        <v>51</v>
      </c>
      <c r="F87" s="5">
        <v>64</v>
      </c>
      <c r="G87" s="5">
        <v>88</v>
      </c>
      <c r="H87" s="5">
        <v>74</v>
      </c>
      <c r="I87" s="6" t="str">
        <f t="shared" si="3"/>
        <v/>
      </c>
      <c r="J87">
        <f t="shared" si="4"/>
        <v>80.550000000000011</v>
      </c>
      <c r="K87" s="4" t="str">
        <f t="shared" si="5"/>
        <v>B</v>
      </c>
      <c r="L87">
        <f>IF(Helper!$E$3="All",1,IF(C87=Helper!$E$3,1,0))</f>
        <v>1</v>
      </c>
    </row>
    <row r="88" spans="1:12" x14ac:dyDescent="0.3">
      <c r="A88" s="3" t="s">
        <v>1823</v>
      </c>
      <c r="B88" s="3" t="s">
        <v>1822</v>
      </c>
      <c r="C88" s="3" t="s">
        <v>17</v>
      </c>
      <c r="D88" s="7">
        <v>0.74</v>
      </c>
      <c r="E88" s="5">
        <v>62</v>
      </c>
      <c r="F88" s="5">
        <v>79</v>
      </c>
      <c r="G88" s="5">
        <v>70</v>
      </c>
      <c r="H88" s="5">
        <v>76</v>
      </c>
      <c r="I88" s="6" t="str">
        <f t="shared" si="3"/>
        <v/>
      </c>
      <c r="J88">
        <f t="shared" si="4"/>
        <v>75.449999999999989</v>
      </c>
      <c r="K88" s="4" t="str">
        <f t="shared" si="5"/>
        <v>C</v>
      </c>
      <c r="L88">
        <f>IF(Helper!$E$3="All",1,IF(C88=Helper!$E$3,1,0))</f>
        <v>1</v>
      </c>
    </row>
    <row r="89" spans="1:12" x14ac:dyDescent="0.3">
      <c r="A89" s="3" t="s">
        <v>1821</v>
      </c>
      <c r="B89" s="3" t="s">
        <v>1820</v>
      </c>
      <c r="C89" s="3" t="s">
        <v>8</v>
      </c>
      <c r="D89" s="7">
        <v>0.86</v>
      </c>
      <c r="E89" s="5">
        <v>51</v>
      </c>
      <c r="F89" s="5">
        <v>98</v>
      </c>
      <c r="G89" s="5">
        <v>64</v>
      </c>
      <c r="H89" s="5">
        <v>40</v>
      </c>
      <c r="I89" s="6">
        <f t="shared" si="3"/>
        <v>-24</v>
      </c>
      <c r="J89">
        <f t="shared" si="4"/>
        <v>59.050000000000004</v>
      </c>
      <c r="K89" s="4" t="str">
        <f t="shared" si="5"/>
        <v>F</v>
      </c>
      <c r="L89">
        <f>IF(Helper!$E$3="All",1,IF(C89=Helper!$E$3,1,0))</f>
        <v>1</v>
      </c>
    </row>
    <row r="90" spans="1:12" x14ac:dyDescent="0.3">
      <c r="A90" s="3" t="s">
        <v>1819</v>
      </c>
      <c r="B90" s="3" t="s">
        <v>1818</v>
      </c>
      <c r="C90" s="3" t="s">
        <v>3</v>
      </c>
      <c r="D90" s="7">
        <v>0.93</v>
      </c>
      <c r="E90" s="5">
        <v>52</v>
      </c>
      <c r="F90" s="5">
        <v>53</v>
      </c>
      <c r="G90" s="5">
        <v>62</v>
      </c>
      <c r="H90" s="5">
        <v>42</v>
      </c>
      <c r="I90" s="6" t="str">
        <f t="shared" si="3"/>
        <v/>
      </c>
      <c r="J90">
        <f t="shared" si="4"/>
        <v>56.849999999999994</v>
      </c>
      <c r="K90" s="4" t="str">
        <f t="shared" si="5"/>
        <v>F</v>
      </c>
      <c r="L90">
        <f>IF(Helper!$E$3="All",1,IF(C90=Helper!$E$3,1,0))</f>
        <v>1</v>
      </c>
    </row>
    <row r="91" spans="1:12" x14ac:dyDescent="0.3">
      <c r="A91" s="3" t="s">
        <v>1817</v>
      </c>
      <c r="B91" s="3" t="s">
        <v>1816</v>
      </c>
      <c r="C91" s="3" t="s">
        <v>17</v>
      </c>
      <c r="D91" s="7">
        <v>0.97</v>
      </c>
      <c r="E91" s="5">
        <v>64</v>
      </c>
      <c r="F91" s="5">
        <v>99</v>
      </c>
      <c r="G91" s="5">
        <v>63</v>
      </c>
      <c r="H91" s="5">
        <v>86</v>
      </c>
      <c r="I91" s="6">
        <f t="shared" si="3"/>
        <v>23</v>
      </c>
      <c r="J91">
        <f t="shared" si="4"/>
        <v>77.75</v>
      </c>
      <c r="K91" s="4" t="str">
        <f t="shared" si="5"/>
        <v>C</v>
      </c>
      <c r="L91">
        <f>IF(Helper!$E$3="All",1,IF(C91=Helper!$E$3,1,0))</f>
        <v>1</v>
      </c>
    </row>
    <row r="92" spans="1:12" x14ac:dyDescent="0.3">
      <c r="A92" s="3" t="s">
        <v>1815</v>
      </c>
      <c r="B92" s="3" t="s">
        <v>1814</v>
      </c>
      <c r="C92" s="3" t="s">
        <v>3</v>
      </c>
      <c r="D92" s="7">
        <v>0.92</v>
      </c>
      <c r="E92" s="5">
        <v>84</v>
      </c>
      <c r="F92" s="5">
        <v>97</v>
      </c>
      <c r="G92" s="5">
        <v>96</v>
      </c>
      <c r="H92" s="5">
        <v>63</v>
      </c>
      <c r="I92" s="6" t="str">
        <f t="shared" si="3"/>
        <v/>
      </c>
      <c r="J92">
        <f t="shared" si="4"/>
        <v>82.649999999999991</v>
      </c>
      <c r="K92" s="4" t="str">
        <f t="shared" si="5"/>
        <v>B</v>
      </c>
      <c r="L92">
        <f>IF(Helper!$E$3="All",1,IF(C92=Helper!$E$3,1,0))</f>
        <v>1</v>
      </c>
    </row>
    <row r="93" spans="1:12" x14ac:dyDescent="0.3">
      <c r="A93" s="3" t="s">
        <v>1813</v>
      </c>
      <c r="B93" s="3" t="s">
        <v>1812</v>
      </c>
      <c r="C93" s="3" t="s">
        <v>3</v>
      </c>
      <c r="D93" s="7">
        <v>0.83000000000000007</v>
      </c>
      <c r="E93" s="5">
        <v>90</v>
      </c>
      <c r="F93" s="5">
        <v>64</v>
      </c>
      <c r="G93" s="5">
        <v>77</v>
      </c>
      <c r="H93" s="5">
        <v>66</v>
      </c>
      <c r="I93" s="6" t="str">
        <f t="shared" si="3"/>
        <v/>
      </c>
      <c r="J93">
        <f t="shared" si="4"/>
        <v>74.900000000000006</v>
      </c>
      <c r="K93" s="4" t="str">
        <f t="shared" si="5"/>
        <v>C</v>
      </c>
      <c r="L93">
        <f>IF(Helper!$E$3="All",1,IF(C93=Helper!$E$3,1,0))</f>
        <v>1</v>
      </c>
    </row>
    <row r="94" spans="1:12" x14ac:dyDescent="0.3">
      <c r="A94" s="3" t="s">
        <v>1811</v>
      </c>
      <c r="B94" s="3" t="s">
        <v>1810</v>
      </c>
      <c r="C94" s="3" t="s">
        <v>17</v>
      </c>
      <c r="D94" s="7">
        <v>0.74</v>
      </c>
      <c r="E94" s="5">
        <v>97</v>
      </c>
      <c r="F94" s="5">
        <v>89</v>
      </c>
      <c r="G94" s="5">
        <v>67</v>
      </c>
      <c r="H94" s="5">
        <v>79</v>
      </c>
      <c r="I94" s="6">
        <f t="shared" si="3"/>
        <v>12</v>
      </c>
      <c r="J94">
        <f t="shared" si="4"/>
        <v>77.7</v>
      </c>
      <c r="K94" s="4" t="str">
        <f t="shared" si="5"/>
        <v>C</v>
      </c>
      <c r="L94">
        <f>IF(Helper!$E$3="All",1,IF(C94=Helper!$E$3,1,0))</f>
        <v>1</v>
      </c>
    </row>
    <row r="95" spans="1:12" x14ac:dyDescent="0.3">
      <c r="A95" s="3" t="s">
        <v>1809</v>
      </c>
      <c r="B95" s="3" t="s">
        <v>1808</v>
      </c>
      <c r="C95" s="3" t="s">
        <v>17</v>
      </c>
      <c r="D95" s="7">
        <v>0.89</v>
      </c>
      <c r="E95" s="5">
        <v>58</v>
      </c>
      <c r="F95" s="5">
        <v>61</v>
      </c>
      <c r="G95" s="5">
        <v>60</v>
      </c>
      <c r="H95" s="5">
        <v>100</v>
      </c>
      <c r="I95" s="6">
        <f t="shared" si="3"/>
        <v>40</v>
      </c>
      <c r="J95">
        <f t="shared" si="4"/>
        <v>79.95</v>
      </c>
      <c r="K95" s="4" t="str">
        <f t="shared" si="5"/>
        <v>C</v>
      </c>
      <c r="L95">
        <f>IF(Helper!$E$3="All",1,IF(C95=Helper!$E$3,1,0))</f>
        <v>1</v>
      </c>
    </row>
    <row r="96" spans="1:12" x14ac:dyDescent="0.3">
      <c r="A96" s="3" t="s">
        <v>1807</v>
      </c>
      <c r="B96" s="3" t="s">
        <v>1806</v>
      </c>
      <c r="C96" s="3" t="s">
        <v>17</v>
      </c>
      <c r="D96" s="7">
        <v>0.76</v>
      </c>
      <c r="E96" s="5">
        <v>94</v>
      </c>
      <c r="F96" s="5">
        <v>91</v>
      </c>
      <c r="G96" s="5">
        <v>93</v>
      </c>
      <c r="H96" s="5">
        <v>75</v>
      </c>
      <c r="I96" s="6" t="str">
        <f t="shared" si="3"/>
        <v/>
      </c>
      <c r="J96">
        <f t="shared" si="4"/>
        <v>86.45</v>
      </c>
      <c r="K96" s="4" t="str">
        <f t="shared" si="5"/>
        <v>B</v>
      </c>
      <c r="L96">
        <f>IF(Helper!$E$3="All",1,IF(C96=Helper!$E$3,1,0))</f>
        <v>1</v>
      </c>
    </row>
    <row r="97" spans="1:12" x14ac:dyDescent="0.3">
      <c r="A97" s="3" t="s">
        <v>1805</v>
      </c>
      <c r="B97" s="3" t="s">
        <v>1804</v>
      </c>
      <c r="C97" s="3" t="s">
        <v>17</v>
      </c>
      <c r="D97" s="7">
        <v>0.64</v>
      </c>
      <c r="E97" s="5">
        <v>85</v>
      </c>
      <c r="F97" s="5">
        <v>69</v>
      </c>
      <c r="G97" s="5">
        <v>82</v>
      </c>
      <c r="H97" s="5">
        <v>73</v>
      </c>
      <c r="I97" s="6" t="str">
        <f t="shared" si="3"/>
        <v/>
      </c>
      <c r="J97">
        <f t="shared" si="4"/>
        <v>69.7</v>
      </c>
      <c r="K97" s="4" t="str">
        <f t="shared" si="5"/>
        <v>D</v>
      </c>
      <c r="L97">
        <f>IF(Helper!$E$3="All",1,IF(C97=Helper!$E$3,1,0))</f>
        <v>1</v>
      </c>
    </row>
    <row r="98" spans="1:12" x14ac:dyDescent="0.3">
      <c r="A98" s="3" t="s">
        <v>1803</v>
      </c>
      <c r="B98" s="3" t="s">
        <v>1802</v>
      </c>
      <c r="C98" s="3" t="s">
        <v>17</v>
      </c>
      <c r="D98" s="7">
        <v>0.88</v>
      </c>
      <c r="E98" s="5">
        <v>75</v>
      </c>
      <c r="F98" s="5">
        <v>59</v>
      </c>
      <c r="G98" s="5">
        <v>57</v>
      </c>
      <c r="H98" s="5">
        <v>68</v>
      </c>
      <c r="I98" s="6">
        <f t="shared" si="3"/>
        <v>11</v>
      </c>
      <c r="J98">
        <f t="shared" si="4"/>
        <v>66.7</v>
      </c>
      <c r="K98" s="4" t="str">
        <f t="shared" si="5"/>
        <v>D</v>
      </c>
      <c r="L98">
        <f>IF(Helper!$E$3="All",1,IF(C98=Helper!$E$3,1,0))</f>
        <v>1</v>
      </c>
    </row>
    <row r="99" spans="1:12" x14ac:dyDescent="0.3">
      <c r="A99" s="3" t="s">
        <v>1801</v>
      </c>
      <c r="B99" s="3" t="s">
        <v>1800</v>
      </c>
      <c r="C99" s="3" t="s">
        <v>3</v>
      </c>
      <c r="D99" s="7">
        <v>0.63</v>
      </c>
      <c r="E99" s="5">
        <v>84</v>
      </c>
      <c r="F99" s="5">
        <v>60</v>
      </c>
      <c r="G99" s="5">
        <v>75</v>
      </c>
      <c r="H99" s="5">
        <v>63</v>
      </c>
      <c r="I99" s="6" t="str">
        <f t="shared" si="3"/>
        <v/>
      </c>
      <c r="J99">
        <f t="shared" si="4"/>
        <v>62.400000000000006</v>
      </c>
      <c r="K99" s="4" t="str">
        <f t="shared" si="5"/>
        <v>D</v>
      </c>
      <c r="L99">
        <f>IF(Helper!$E$3="All",1,IF(C99=Helper!$E$3,1,0))</f>
        <v>1</v>
      </c>
    </row>
    <row r="100" spans="1:12" x14ac:dyDescent="0.3">
      <c r="A100" s="3" t="s">
        <v>1799</v>
      </c>
      <c r="B100" s="3" t="s">
        <v>1798</v>
      </c>
      <c r="C100" s="3" t="s">
        <v>17</v>
      </c>
      <c r="D100" s="7">
        <v>0.69000000000000006</v>
      </c>
      <c r="E100" s="5">
        <v>47</v>
      </c>
      <c r="F100" s="5">
        <v>83</v>
      </c>
      <c r="G100" s="5">
        <v>74</v>
      </c>
      <c r="H100" s="5">
        <v>63</v>
      </c>
      <c r="I100" s="6" t="str">
        <f t="shared" si="3"/>
        <v/>
      </c>
      <c r="J100">
        <f t="shared" si="4"/>
        <v>61.3</v>
      </c>
      <c r="K100" s="4" t="str">
        <f t="shared" si="5"/>
        <v>D</v>
      </c>
      <c r="L100">
        <f>IF(Helper!$E$3="All",1,IF(C100=Helper!$E$3,1,0))</f>
        <v>1</v>
      </c>
    </row>
    <row r="101" spans="1:12" x14ac:dyDescent="0.3">
      <c r="A101" s="3" t="s">
        <v>1797</v>
      </c>
      <c r="B101" s="3" t="s">
        <v>1796</v>
      </c>
      <c r="C101" s="3" t="s">
        <v>8</v>
      </c>
      <c r="D101" s="7">
        <v>0.76</v>
      </c>
      <c r="E101" s="5">
        <v>68</v>
      </c>
      <c r="F101" s="5">
        <v>71</v>
      </c>
      <c r="G101" s="5">
        <v>84</v>
      </c>
      <c r="H101" s="5">
        <v>81</v>
      </c>
      <c r="I101" s="6" t="str">
        <f t="shared" si="3"/>
        <v/>
      </c>
      <c r="J101">
        <f t="shared" si="4"/>
        <v>82.95</v>
      </c>
      <c r="K101" s="4" t="str">
        <f t="shared" si="5"/>
        <v>B</v>
      </c>
      <c r="L101">
        <f>IF(Helper!$E$3="All",1,IF(C101=Helper!$E$3,1,0))</f>
        <v>1</v>
      </c>
    </row>
    <row r="102" spans="1:12" x14ac:dyDescent="0.3">
      <c r="A102" s="3" t="s">
        <v>1795</v>
      </c>
      <c r="B102" s="3" t="s">
        <v>1794</v>
      </c>
      <c r="C102" s="3" t="s">
        <v>0</v>
      </c>
      <c r="D102" s="7">
        <v>0.69000000000000006</v>
      </c>
      <c r="E102" s="5">
        <v>94</v>
      </c>
      <c r="F102" s="5">
        <v>90</v>
      </c>
      <c r="G102" s="5">
        <v>94</v>
      </c>
      <c r="H102" s="5">
        <v>43</v>
      </c>
      <c r="I102" s="6">
        <f t="shared" si="3"/>
        <v>-51</v>
      </c>
      <c r="J102">
        <f t="shared" si="4"/>
        <v>64</v>
      </c>
      <c r="K102" s="4" t="str">
        <f t="shared" si="5"/>
        <v>D</v>
      </c>
      <c r="L102">
        <f>IF(Helper!$E$3="All",1,IF(C102=Helper!$E$3,1,0))</f>
        <v>1</v>
      </c>
    </row>
    <row r="103" spans="1:12" x14ac:dyDescent="0.3">
      <c r="A103" s="3" t="s">
        <v>1793</v>
      </c>
      <c r="B103" s="3" t="s">
        <v>1792</v>
      </c>
      <c r="C103" s="3" t="s">
        <v>17</v>
      </c>
      <c r="D103" s="7">
        <v>0.76</v>
      </c>
      <c r="E103" s="5">
        <v>92</v>
      </c>
      <c r="F103" s="5">
        <v>85</v>
      </c>
      <c r="G103" s="5">
        <v>48</v>
      </c>
      <c r="H103" s="5">
        <v>42</v>
      </c>
      <c r="I103" s="6" t="str">
        <f t="shared" si="3"/>
        <v/>
      </c>
      <c r="J103">
        <f t="shared" si="4"/>
        <v>54.849999999999994</v>
      </c>
      <c r="K103" s="4" t="str">
        <f t="shared" si="5"/>
        <v>F</v>
      </c>
      <c r="L103">
        <f>IF(Helper!$E$3="All",1,IF(C103=Helper!$E$3,1,0))</f>
        <v>1</v>
      </c>
    </row>
    <row r="104" spans="1:12" x14ac:dyDescent="0.3">
      <c r="A104" s="3" t="s">
        <v>1791</v>
      </c>
      <c r="B104" s="3" t="s">
        <v>1790</v>
      </c>
      <c r="C104" s="3" t="s">
        <v>17</v>
      </c>
      <c r="D104" s="7">
        <v>0.79</v>
      </c>
      <c r="E104" s="5">
        <v>94</v>
      </c>
      <c r="F104" s="5">
        <v>88</v>
      </c>
      <c r="G104" s="5">
        <v>92</v>
      </c>
      <c r="H104" s="5">
        <v>73</v>
      </c>
      <c r="I104" s="6" t="str">
        <f t="shared" si="3"/>
        <v/>
      </c>
      <c r="J104">
        <f t="shared" si="4"/>
        <v>85.100000000000009</v>
      </c>
      <c r="K104" s="4" t="str">
        <f t="shared" si="5"/>
        <v>B</v>
      </c>
      <c r="L104">
        <f>IF(Helper!$E$3="All",1,IF(C104=Helper!$E$3,1,0))</f>
        <v>1</v>
      </c>
    </row>
    <row r="105" spans="1:12" x14ac:dyDescent="0.3">
      <c r="A105" s="3" t="s">
        <v>1789</v>
      </c>
      <c r="B105" s="3" t="s">
        <v>1788</v>
      </c>
      <c r="C105" s="3" t="s">
        <v>3</v>
      </c>
      <c r="D105" s="7">
        <v>0.83000000000000007</v>
      </c>
      <c r="E105" s="5">
        <v>71</v>
      </c>
      <c r="F105" s="5">
        <v>95</v>
      </c>
      <c r="G105" s="5">
        <v>77</v>
      </c>
      <c r="H105" s="5">
        <v>96</v>
      </c>
      <c r="I105" s="6">
        <f t="shared" si="3"/>
        <v>19</v>
      </c>
      <c r="J105">
        <f t="shared" si="4"/>
        <v>87.5</v>
      </c>
      <c r="K105" s="4" t="str">
        <f t="shared" si="5"/>
        <v>B</v>
      </c>
      <c r="L105">
        <f>IF(Helper!$E$3="All",1,IF(C105=Helper!$E$3,1,0))</f>
        <v>1</v>
      </c>
    </row>
    <row r="106" spans="1:12" x14ac:dyDescent="0.3">
      <c r="A106" s="3" t="s">
        <v>1787</v>
      </c>
      <c r="B106" s="3" t="s">
        <v>1786</v>
      </c>
      <c r="C106" s="3" t="s">
        <v>17</v>
      </c>
      <c r="D106" s="7">
        <v>0.64</v>
      </c>
      <c r="E106" s="5">
        <v>90</v>
      </c>
      <c r="F106" s="5">
        <v>60</v>
      </c>
      <c r="G106" s="5">
        <v>97</v>
      </c>
      <c r="H106" s="5">
        <v>88</v>
      </c>
      <c r="I106" s="6" t="str">
        <f t="shared" si="3"/>
        <v/>
      </c>
      <c r="J106">
        <f t="shared" si="4"/>
        <v>81.5</v>
      </c>
      <c r="K106" s="4" t="str">
        <f t="shared" si="5"/>
        <v>B</v>
      </c>
      <c r="L106">
        <f>IF(Helper!$E$3="All",1,IF(C106=Helper!$E$3,1,0))</f>
        <v>1</v>
      </c>
    </row>
    <row r="107" spans="1:12" x14ac:dyDescent="0.3">
      <c r="A107" s="3" t="s">
        <v>1785</v>
      </c>
      <c r="B107" s="3" t="s">
        <v>1784</v>
      </c>
      <c r="C107" s="3" t="s">
        <v>17</v>
      </c>
      <c r="D107" s="7">
        <v>0.93</v>
      </c>
      <c r="E107" s="5">
        <v>83</v>
      </c>
      <c r="F107" s="5">
        <v>74</v>
      </c>
      <c r="G107" s="5">
        <v>69</v>
      </c>
      <c r="H107" s="5">
        <v>62</v>
      </c>
      <c r="I107" s="6" t="str">
        <f t="shared" si="3"/>
        <v/>
      </c>
      <c r="J107">
        <f t="shared" si="4"/>
        <v>70.25</v>
      </c>
      <c r="K107" s="4" t="str">
        <f t="shared" si="5"/>
        <v>C</v>
      </c>
      <c r="L107">
        <f>IF(Helper!$E$3="All",1,IF(C107=Helper!$E$3,1,0))</f>
        <v>1</v>
      </c>
    </row>
    <row r="108" spans="1:12" x14ac:dyDescent="0.3">
      <c r="A108" s="3" t="s">
        <v>1783</v>
      </c>
      <c r="B108" s="3" t="s">
        <v>1782</v>
      </c>
      <c r="C108" s="3" t="s">
        <v>17</v>
      </c>
      <c r="D108" s="7">
        <v>0.65</v>
      </c>
      <c r="E108" s="5">
        <v>57</v>
      </c>
      <c r="F108" s="5">
        <v>97</v>
      </c>
      <c r="G108" s="5">
        <v>99</v>
      </c>
      <c r="H108" s="5">
        <v>92</v>
      </c>
      <c r="I108" s="6" t="str">
        <f t="shared" si="3"/>
        <v/>
      </c>
      <c r="J108">
        <f t="shared" si="4"/>
        <v>84.1</v>
      </c>
      <c r="K108" s="4" t="str">
        <f t="shared" si="5"/>
        <v>B</v>
      </c>
      <c r="L108">
        <f>IF(Helper!$E$3="All",1,IF(C108=Helper!$E$3,1,0))</f>
        <v>1</v>
      </c>
    </row>
    <row r="109" spans="1:12" x14ac:dyDescent="0.3">
      <c r="A109" s="3" t="s">
        <v>1781</v>
      </c>
      <c r="B109" s="3" t="s">
        <v>1780</v>
      </c>
      <c r="C109" s="3" t="s">
        <v>3</v>
      </c>
      <c r="D109" s="7">
        <v>0.61</v>
      </c>
      <c r="E109" s="5">
        <v>45</v>
      </c>
      <c r="F109" s="5">
        <v>71</v>
      </c>
      <c r="G109" s="5">
        <v>83</v>
      </c>
      <c r="H109" s="5">
        <v>95</v>
      </c>
      <c r="I109" s="6" t="str">
        <f t="shared" si="3"/>
        <v/>
      </c>
      <c r="J109">
        <f t="shared" si="4"/>
        <v>77</v>
      </c>
      <c r="K109" s="4" t="str">
        <f t="shared" si="5"/>
        <v>C</v>
      </c>
      <c r="L109">
        <f>IF(Helper!$E$3="All",1,IF(C109=Helper!$E$3,1,0))</f>
        <v>1</v>
      </c>
    </row>
    <row r="110" spans="1:12" x14ac:dyDescent="0.3">
      <c r="A110" s="3" t="s">
        <v>1779</v>
      </c>
      <c r="B110" s="3" t="s">
        <v>1778</v>
      </c>
      <c r="C110" s="3" t="s">
        <v>17</v>
      </c>
      <c r="D110" s="7">
        <v>0.72</v>
      </c>
      <c r="E110" s="5">
        <v>57</v>
      </c>
      <c r="F110" s="5">
        <v>69</v>
      </c>
      <c r="G110" s="5">
        <v>73</v>
      </c>
      <c r="H110" s="5">
        <v>91</v>
      </c>
      <c r="I110" s="6">
        <f t="shared" si="3"/>
        <v>18</v>
      </c>
      <c r="J110">
        <f t="shared" si="4"/>
        <v>81.900000000000006</v>
      </c>
      <c r="K110" s="4" t="str">
        <f t="shared" si="5"/>
        <v>B</v>
      </c>
      <c r="L110">
        <f>IF(Helper!$E$3="All",1,IF(C110=Helper!$E$3,1,0))</f>
        <v>1</v>
      </c>
    </row>
    <row r="111" spans="1:12" x14ac:dyDescent="0.3">
      <c r="A111" s="3" t="s">
        <v>1777</v>
      </c>
      <c r="B111" s="3" t="s">
        <v>1776</v>
      </c>
      <c r="C111" s="3" t="s">
        <v>0</v>
      </c>
      <c r="D111" s="7">
        <v>0.70000000000000007</v>
      </c>
      <c r="E111" s="5">
        <v>58</v>
      </c>
      <c r="F111" s="5">
        <v>94</v>
      </c>
      <c r="G111" s="5">
        <v>71</v>
      </c>
      <c r="H111" s="5">
        <v>62</v>
      </c>
      <c r="I111" s="6" t="str">
        <f t="shared" si="3"/>
        <v/>
      </c>
      <c r="J111">
        <f t="shared" si="4"/>
        <v>60.8</v>
      </c>
      <c r="K111" s="4" t="str">
        <f t="shared" si="5"/>
        <v>D</v>
      </c>
      <c r="L111">
        <f>IF(Helper!$E$3="All",1,IF(C111=Helper!$E$3,1,0))</f>
        <v>1</v>
      </c>
    </row>
    <row r="112" spans="1:12" x14ac:dyDescent="0.3">
      <c r="A112" s="3" t="s">
        <v>1775</v>
      </c>
      <c r="B112" s="3" t="s">
        <v>1774</v>
      </c>
      <c r="C112" s="3" t="s">
        <v>3</v>
      </c>
      <c r="D112" s="7">
        <v>0.82000000000000006</v>
      </c>
      <c r="E112" s="5">
        <v>61</v>
      </c>
      <c r="F112" s="5">
        <v>78</v>
      </c>
      <c r="G112" s="5">
        <v>42</v>
      </c>
      <c r="H112" s="5">
        <v>84</v>
      </c>
      <c r="I112" s="6">
        <f t="shared" si="3"/>
        <v>42</v>
      </c>
      <c r="J112">
        <f t="shared" si="4"/>
        <v>67.349999999999994</v>
      </c>
      <c r="K112" s="4" t="str">
        <f t="shared" si="5"/>
        <v>D</v>
      </c>
      <c r="L112">
        <f>IF(Helper!$E$3="All",1,IF(C112=Helper!$E$3,1,0))</f>
        <v>1</v>
      </c>
    </row>
    <row r="113" spans="1:12" x14ac:dyDescent="0.3">
      <c r="A113" s="3" t="s">
        <v>1773</v>
      </c>
      <c r="B113" s="3" t="s">
        <v>1772</v>
      </c>
      <c r="C113" s="3" t="s">
        <v>0</v>
      </c>
      <c r="D113" s="7">
        <v>0.75</v>
      </c>
      <c r="E113" s="5">
        <v>76</v>
      </c>
      <c r="F113" s="5">
        <v>88</v>
      </c>
      <c r="G113" s="5">
        <v>42</v>
      </c>
      <c r="H113" s="5">
        <v>44</v>
      </c>
      <c r="I113" s="6" t="str">
        <f t="shared" si="3"/>
        <v/>
      </c>
      <c r="J113">
        <f t="shared" si="4"/>
        <v>52.6</v>
      </c>
      <c r="K113" s="4" t="str">
        <f t="shared" si="5"/>
        <v>F</v>
      </c>
      <c r="L113">
        <f>IF(Helper!$E$3="All",1,IF(C113=Helper!$E$3,1,0))</f>
        <v>1</v>
      </c>
    </row>
    <row r="114" spans="1:12" x14ac:dyDescent="0.3">
      <c r="A114" s="3" t="s">
        <v>1771</v>
      </c>
      <c r="B114" s="3" t="s">
        <v>1770</v>
      </c>
      <c r="C114" s="3" t="s">
        <v>3</v>
      </c>
      <c r="D114" s="7">
        <v>0.9</v>
      </c>
      <c r="E114" s="5">
        <v>71</v>
      </c>
      <c r="F114" s="5">
        <v>51</v>
      </c>
      <c r="G114" s="5">
        <v>67</v>
      </c>
      <c r="H114" s="5">
        <v>70</v>
      </c>
      <c r="I114" s="6" t="str">
        <f t="shared" si="3"/>
        <v/>
      </c>
      <c r="J114">
        <f t="shared" si="4"/>
        <v>70.900000000000006</v>
      </c>
      <c r="K114" s="4" t="str">
        <f t="shared" si="5"/>
        <v>C</v>
      </c>
      <c r="L114">
        <f>IF(Helper!$E$3="All",1,IF(C114=Helper!$E$3,1,0))</f>
        <v>1</v>
      </c>
    </row>
    <row r="115" spans="1:12" x14ac:dyDescent="0.3">
      <c r="A115" s="3" t="s">
        <v>1769</v>
      </c>
      <c r="B115" s="3" t="s">
        <v>1768</v>
      </c>
      <c r="C115" s="3" t="s">
        <v>17</v>
      </c>
      <c r="D115" s="7">
        <v>0.70000000000000007</v>
      </c>
      <c r="E115" s="5">
        <v>95</v>
      </c>
      <c r="F115" s="5">
        <v>80</v>
      </c>
      <c r="G115" s="5">
        <v>83</v>
      </c>
      <c r="H115" s="5">
        <v>92</v>
      </c>
      <c r="I115" s="6" t="str">
        <f t="shared" si="3"/>
        <v/>
      </c>
      <c r="J115">
        <f t="shared" si="4"/>
        <v>78.75</v>
      </c>
      <c r="K115" s="4" t="str">
        <f t="shared" si="5"/>
        <v>C</v>
      </c>
      <c r="L115">
        <f>IF(Helper!$E$3="All",1,IF(C115=Helper!$E$3,1,0))</f>
        <v>1</v>
      </c>
    </row>
    <row r="116" spans="1:12" x14ac:dyDescent="0.3">
      <c r="A116" s="3" t="s">
        <v>1767</v>
      </c>
      <c r="B116" s="3" t="s">
        <v>1766</v>
      </c>
      <c r="C116" s="3" t="s">
        <v>0</v>
      </c>
      <c r="D116" s="7">
        <v>0.75</v>
      </c>
      <c r="E116" s="5">
        <v>80</v>
      </c>
      <c r="F116" s="5">
        <v>86</v>
      </c>
      <c r="G116" s="5">
        <v>54</v>
      </c>
      <c r="H116" s="5">
        <v>80</v>
      </c>
      <c r="I116" s="6">
        <f t="shared" si="3"/>
        <v>26</v>
      </c>
      <c r="J116">
        <f t="shared" si="4"/>
        <v>71.900000000000006</v>
      </c>
      <c r="K116" s="4" t="str">
        <f t="shared" si="5"/>
        <v>C</v>
      </c>
      <c r="L116">
        <f>IF(Helper!$E$3="All",1,IF(C116=Helper!$E$3,1,0))</f>
        <v>1</v>
      </c>
    </row>
    <row r="117" spans="1:12" x14ac:dyDescent="0.3">
      <c r="A117" s="3" t="s">
        <v>1765</v>
      </c>
      <c r="B117" s="3" t="s">
        <v>1764</v>
      </c>
      <c r="C117" s="3" t="s">
        <v>3</v>
      </c>
      <c r="D117" s="7">
        <v>0.67</v>
      </c>
      <c r="E117" s="5">
        <v>98</v>
      </c>
      <c r="F117" s="5">
        <v>57</v>
      </c>
      <c r="G117" s="5">
        <v>80</v>
      </c>
      <c r="H117" s="5">
        <v>96</v>
      </c>
      <c r="I117" s="6">
        <f t="shared" si="3"/>
        <v>16</v>
      </c>
      <c r="J117">
        <f t="shared" si="4"/>
        <v>78.150000000000006</v>
      </c>
      <c r="K117" s="4" t="str">
        <f t="shared" si="5"/>
        <v>C</v>
      </c>
      <c r="L117">
        <f>IF(Helper!$E$3="All",1,IF(C117=Helper!$E$3,1,0))</f>
        <v>1</v>
      </c>
    </row>
    <row r="118" spans="1:12" x14ac:dyDescent="0.3">
      <c r="A118" s="3" t="s">
        <v>1763</v>
      </c>
      <c r="B118" s="3" t="s">
        <v>1762</v>
      </c>
      <c r="C118" s="3" t="s">
        <v>8</v>
      </c>
      <c r="D118" s="7">
        <v>0.63</v>
      </c>
      <c r="E118" s="5">
        <v>42</v>
      </c>
      <c r="F118" s="5">
        <v>60</v>
      </c>
      <c r="G118" s="5">
        <v>62</v>
      </c>
      <c r="H118" s="5">
        <v>100</v>
      </c>
      <c r="I118" s="6">
        <f t="shared" si="3"/>
        <v>38</v>
      </c>
      <c r="J118">
        <f t="shared" si="4"/>
        <v>69.900000000000006</v>
      </c>
      <c r="K118" s="4" t="str">
        <f t="shared" si="5"/>
        <v>D</v>
      </c>
      <c r="L118">
        <f>IF(Helper!$E$3="All",1,IF(C118=Helper!$E$3,1,0))</f>
        <v>1</v>
      </c>
    </row>
    <row r="119" spans="1:12" x14ac:dyDescent="0.3">
      <c r="A119" s="3" t="s">
        <v>1761</v>
      </c>
      <c r="B119" s="3" t="s">
        <v>1760</v>
      </c>
      <c r="C119" s="3" t="s">
        <v>17</v>
      </c>
      <c r="D119" s="7">
        <v>0.99</v>
      </c>
      <c r="E119" s="5">
        <v>67</v>
      </c>
      <c r="F119" s="5">
        <v>52</v>
      </c>
      <c r="G119" s="5">
        <v>79</v>
      </c>
      <c r="H119" s="5">
        <v>96</v>
      </c>
      <c r="I119" s="6">
        <f t="shared" si="3"/>
        <v>17</v>
      </c>
      <c r="J119">
        <f t="shared" si="4"/>
        <v>85.949999999999989</v>
      </c>
      <c r="K119" s="4" t="str">
        <f t="shared" si="5"/>
        <v>B</v>
      </c>
      <c r="L119">
        <f>IF(Helper!$E$3="All",1,IF(C119=Helper!$E$3,1,0))</f>
        <v>1</v>
      </c>
    </row>
    <row r="120" spans="1:12" x14ac:dyDescent="0.3">
      <c r="A120" s="3" t="s">
        <v>1759</v>
      </c>
      <c r="B120" s="3" t="s">
        <v>1758</v>
      </c>
      <c r="C120" s="3" t="s">
        <v>3</v>
      </c>
      <c r="D120" s="7">
        <v>0.63</v>
      </c>
      <c r="E120" s="5">
        <v>49</v>
      </c>
      <c r="F120" s="5">
        <v>60</v>
      </c>
      <c r="G120" s="5">
        <v>50</v>
      </c>
      <c r="H120" s="5">
        <v>99</v>
      </c>
      <c r="I120" s="6">
        <f t="shared" si="3"/>
        <v>49</v>
      </c>
      <c r="J120">
        <f t="shared" si="4"/>
        <v>65.05</v>
      </c>
      <c r="K120" s="4" t="str">
        <f t="shared" si="5"/>
        <v>D</v>
      </c>
      <c r="L120">
        <f>IF(Helper!$E$3="All",1,IF(C120=Helper!$E$3,1,0))</f>
        <v>1</v>
      </c>
    </row>
    <row r="121" spans="1:12" x14ac:dyDescent="0.3">
      <c r="A121" s="3" t="s">
        <v>1757</v>
      </c>
      <c r="B121" s="3" t="s">
        <v>1756</v>
      </c>
      <c r="C121" s="3" t="s">
        <v>8</v>
      </c>
      <c r="D121" s="7">
        <v>0.84</v>
      </c>
      <c r="E121" s="5">
        <v>90</v>
      </c>
      <c r="F121" s="5">
        <v>47</v>
      </c>
      <c r="G121" s="5">
        <v>87</v>
      </c>
      <c r="H121" s="5">
        <v>93</v>
      </c>
      <c r="I121" s="6" t="str">
        <f t="shared" si="3"/>
        <v/>
      </c>
      <c r="J121">
        <f t="shared" si="4"/>
        <v>88.85</v>
      </c>
      <c r="K121" s="4" t="str">
        <f t="shared" si="5"/>
        <v>B</v>
      </c>
      <c r="L121">
        <f>IF(Helper!$E$3="All",1,IF(C121=Helper!$E$3,1,0))</f>
        <v>1</v>
      </c>
    </row>
    <row r="122" spans="1:12" x14ac:dyDescent="0.3">
      <c r="A122" s="3" t="s">
        <v>1755</v>
      </c>
      <c r="B122" s="3" t="s">
        <v>1754</v>
      </c>
      <c r="C122" s="3" t="s">
        <v>3</v>
      </c>
      <c r="D122" s="7">
        <v>0.62</v>
      </c>
      <c r="E122" s="5">
        <v>74</v>
      </c>
      <c r="F122" s="5">
        <v>85</v>
      </c>
      <c r="G122" s="5">
        <v>71</v>
      </c>
      <c r="H122" s="5">
        <v>45</v>
      </c>
      <c r="I122" s="6">
        <f t="shared" si="3"/>
        <v>-26</v>
      </c>
      <c r="J122">
        <f t="shared" si="4"/>
        <v>54.35</v>
      </c>
      <c r="K122" s="4" t="str">
        <f t="shared" si="5"/>
        <v>F</v>
      </c>
      <c r="L122">
        <f>IF(Helper!$E$3="All",1,IF(C122=Helper!$E$3,1,0))</f>
        <v>1</v>
      </c>
    </row>
    <row r="123" spans="1:12" x14ac:dyDescent="0.3">
      <c r="A123" s="3" t="s">
        <v>1753</v>
      </c>
      <c r="B123" s="3" t="s">
        <v>1752</v>
      </c>
      <c r="C123" s="3" t="s">
        <v>8</v>
      </c>
      <c r="D123" s="7">
        <v>0.91</v>
      </c>
      <c r="E123" s="5">
        <v>100</v>
      </c>
      <c r="F123" s="5">
        <v>79</v>
      </c>
      <c r="G123" s="5">
        <v>97</v>
      </c>
      <c r="H123" s="5">
        <v>76</v>
      </c>
      <c r="I123" s="6" t="str">
        <f t="shared" si="3"/>
        <v/>
      </c>
      <c r="J123">
        <f t="shared" si="4"/>
        <v>88.15</v>
      </c>
      <c r="K123" s="4" t="str">
        <f t="shared" si="5"/>
        <v>B</v>
      </c>
      <c r="L123">
        <f>IF(Helper!$E$3="All",1,IF(C123=Helper!$E$3,1,0))</f>
        <v>1</v>
      </c>
    </row>
    <row r="124" spans="1:12" x14ac:dyDescent="0.3">
      <c r="A124" s="3" t="s">
        <v>1751</v>
      </c>
      <c r="B124" s="3" t="s">
        <v>1750</v>
      </c>
      <c r="C124" s="3" t="s">
        <v>17</v>
      </c>
      <c r="D124" s="7">
        <v>0.62</v>
      </c>
      <c r="E124" s="5">
        <v>68</v>
      </c>
      <c r="F124" s="5">
        <v>85</v>
      </c>
      <c r="G124" s="5">
        <v>98</v>
      </c>
      <c r="H124" s="5">
        <v>96</v>
      </c>
      <c r="I124" s="6" t="str">
        <f t="shared" si="3"/>
        <v/>
      </c>
      <c r="J124">
        <f t="shared" si="4"/>
        <v>85.25</v>
      </c>
      <c r="K124" s="4" t="str">
        <f t="shared" si="5"/>
        <v>B</v>
      </c>
      <c r="L124">
        <f>IF(Helper!$E$3="All",1,IF(C124=Helper!$E$3,1,0))</f>
        <v>1</v>
      </c>
    </row>
    <row r="125" spans="1:12" x14ac:dyDescent="0.3">
      <c r="A125" s="3" t="s">
        <v>1749</v>
      </c>
      <c r="B125" s="3" t="s">
        <v>1748</v>
      </c>
      <c r="C125" s="3" t="s">
        <v>0</v>
      </c>
      <c r="D125" s="7">
        <v>0.86</v>
      </c>
      <c r="E125" s="5">
        <v>93</v>
      </c>
      <c r="F125" s="5">
        <v>46</v>
      </c>
      <c r="G125" s="5">
        <v>96</v>
      </c>
      <c r="H125" s="5">
        <v>49</v>
      </c>
      <c r="I125" s="6">
        <f t="shared" si="3"/>
        <v>-47</v>
      </c>
      <c r="J125">
        <f t="shared" si="4"/>
        <v>74.949999999999989</v>
      </c>
      <c r="K125" s="4" t="str">
        <f t="shared" si="5"/>
        <v>C</v>
      </c>
      <c r="L125">
        <f>IF(Helper!$E$3="All",1,IF(C125=Helper!$E$3,1,0))</f>
        <v>1</v>
      </c>
    </row>
    <row r="126" spans="1:12" x14ac:dyDescent="0.3">
      <c r="A126" s="3" t="s">
        <v>1747</v>
      </c>
      <c r="B126" s="3" t="s">
        <v>1746</v>
      </c>
      <c r="C126" s="3" t="s">
        <v>8</v>
      </c>
      <c r="D126" s="7">
        <v>0.88</v>
      </c>
      <c r="E126" s="5">
        <v>54</v>
      </c>
      <c r="F126" s="5">
        <v>62</v>
      </c>
      <c r="G126" s="5">
        <v>93</v>
      </c>
      <c r="H126" s="5">
        <v>79</v>
      </c>
      <c r="I126" s="6" t="str">
        <f t="shared" si="3"/>
        <v/>
      </c>
      <c r="J126">
        <f t="shared" si="4"/>
        <v>84.6</v>
      </c>
      <c r="K126" s="4" t="str">
        <f t="shared" si="5"/>
        <v>B</v>
      </c>
      <c r="L126">
        <f>IF(Helper!$E$3="All",1,IF(C126=Helper!$E$3,1,0))</f>
        <v>1</v>
      </c>
    </row>
    <row r="127" spans="1:12" x14ac:dyDescent="0.3">
      <c r="A127" s="3" t="s">
        <v>1745</v>
      </c>
      <c r="B127" s="3" t="s">
        <v>1744</v>
      </c>
      <c r="C127" s="3" t="s">
        <v>3</v>
      </c>
      <c r="D127" s="7">
        <v>0.91</v>
      </c>
      <c r="E127" s="5">
        <v>72</v>
      </c>
      <c r="F127" s="5">
        <v>83</v>
      </c>
      <c r="G127" s="5">
        <v>75</v>
      </c>
      <c r="H127" s="5">
        <v>46</v>
      </c>
      <c r="I127" s="6">
        <f t="shared" si="3"/>
        <v>-29</v>
      </c>
      <c r="J127">
        <f t="shared" si="4"/>
        <v>66.150000000000006</v>
      </c>
      <c r="K127" s="4" t="str">
        <f t="shared" si="5"/>
        <v>D</v>
      </c>
      <c r="L127">
        <f>IF(Helper!$E$3="All",1,IF(C127=Helper!$E$3,1,0))</f>
        <v>1</v>
      </c>
    </row>
    <row r="128" spans="1:12" x14ac:dyDescent="0.3">
      <c r="A128" s="3" t="s">
        <v>1743</v>
      </c>
      <c r="B128" s="3" t="s">
        <v>1742</v>
      </c>
      <c r="C128" s="3" t="s">
        <v>17</v>
      </c>
      <c r="D128" s="7">
        <v>0.78</v>
      </c>
      <c r="E128" s="5">
        <v>46</v>
      </c>
      <c r="F128" s="5">
        <v>71</v>
      </c>
      <c r="G128" s="5">
        <v>99</v>
      </c>
      <c r="H128" s="5">
        <v>78</v>
      </c>
      <c r="I128" s="6" t="str">
        <f t="shared" si="3"/>
        <v/>
      </c>
      <c r="J128">
        <f t="shared" si="4"/>
        <v>86.65</v>
      </c>
      <c r="K128" s="4" t="str">
        <f t="shared" si="5"/>
        <v>B</v>
      </c>
      <c r="L128">
        <f>IF(Helper!$E$3="All",1,IF(C128=Helper!$E$3,1,0))</f>
        <v>1</v>
      </c>
    </row>
    <row r="129" spans="1:12" x14ac:dyDescent="0.3">
      <c r="A129" s="3" t="s">
        <v>1741</v>
      </c>
      <c r="B129" s="3" t="s">
        <v>1740</v>
      </c>
      <c r="C129" s="3" t="s">
        <v>8</v>
      </c>
      <c r="D129" s="7">
        <v>0.8</v>
      </c>
      <c r="E129" s="5">
        <v>51</v>
      </c>
      <c r="F129" s="5">
        <v>50</v>
      </c>
      <c r="G129" s="5">
        <v>72</v>
      </c>
      <c r="H129" s="5">
        <v>77</v>
      </c>
      <c r="I129" s="6" t="str">
        <f t="shared" si="3"/>
        <v/>
      </c>
      <c r="J129">
        <f t="shared" si="4"/>
        <v>74.649999999999991</v>
      </c>
      <c r="K129" s="4" t="str">
        <f t="shared" si="5"/>
        <v>C</v>
      </c>
      <c r="L129">
        <f>IF(Helper!$E$3="All",1,IF(C129=Helper!$E$3,1,0))</f>
        <v>1</v>
      </c>
    </row>
    <row r="130" spans="1:12" x14ac:dyDescent="0.3">
      <c r="A130" s="3" t="s">
        <v>1739</v>
      </c>
      <c r="B130" s="3" t="s">
        <v>1738</v>
      </c>
      <c r="C130" s="3" t="s">
        <v>3</v>
      </c>
      <c r="D130" s="7">
        <v>0.64</v>
      </c>
      <c r="E130" s="5">
        <v>88</v>
      </c>
      <c r="F130" s="5">
        <v>61</v>
      </c>
      <c r="G130" s="5">
        <v>63</v>
      </c>
      <c r="H130" s="5">
        <v>60</v>
      </c>
      <c r="I130" s="6" t="str">
        <f t="shared" ref="I130:I193" si="6">IF(H130&gt;G130*1.15,H130-G130,IF(H130&lt;G130*0.65,H130-G130,""))</f>
        <v/>
      </c>
      <c r="J130">
        <f t="shared" ref="J130:J193" si="7">IF(ISBLANK(D130),"",IF(D130&gt;0.7,10,0)+(E130/100*5)+(F130/100*5)+(G130/100*40)+(H130/100*40))</f>
        <v>56.65</v>
      </c>
      <c r="K130" s="4" t="str">
        <f t="shared" ref="K130:K193" si="8">IF(J130&gt;=90,"A",IF(J130&gt;=80,"B",IF(J130&gt;=70,"C",IF(J130&gt;=60,"D","F"))))</f>
        <v>F</v>
      </c>
      <c r="L130">
        <f>IF(Helper!$E$3="All",1,IF(C130=Helper!$E$3,1,0))</f>
        <v>1</v>
      </c>
    </row>
    <row r="131" spans="1:12" x14ac:dyDescent="0.3">
      <c r="A131" s="3" t="s">
        <v>1737</v>
      </c>
      <c r="B131" s="3" t="s">
        <v>1736</v>
      </c>
      <c r="C131" s="3" t="s">
        <v>3</v>
      </c>
      <c r="D131" s="7">
        <v>0.77</v>
      </c>
      <c r="E131" s="5">
        <v>69</v>
      </c>
      <c r="F131" s="5">
        <v>61</v>
      </c>
      <c r="G131" s="5">
        <v>78</v>
      </c>
      <c r="H131" s="5">
        <v>100</v>
      </c>
      <c r="I131" s="6">
        <f t="shared" si="6"/>
        <v>22</v>
      </c>
      <c r="J131">
        <f t="shared" si="7"/>
        <v>87.7</v>
      </c>
      <c r="K131" s="4" t="str">
        <f t="shared" si="8"/>
        <v>B</v>
      </c>
      <c r="L131">
        <f>IF(Helper!$E$3="All",1,IF(C131=Helper!$E$3,1,0))</f>
        <v>1</v>
      </c>
    </row>
    <row r="132" spans="1:12" x14ac:dyDescent="0.3">
      <c r="A132" s="3" t="s">
        <v>1735</v>
      </c>
      <c r="B132" s="3" t="s">
        <v>1734</v>
      </c>
      <c r="C132" s="3" t="s">
        <v>3</v>
      </c>
      <c r="D132" s="7">
        <v>0.87</v>
      </c>
      <c r="E132" s="5">
        <v>60</v>
      </c>
      <c r="F132" s="5">
        <v>82</v>
      </c>
      <c r="G132" s="5">
        <v>73</v>
      </c>
      <c r="H132" s="5">
        <v>59</v>
      </c>
      <c r="I132" s="6" t="str">
        <f t="shared" si="6"/>
        <v/>
      </c>
      <c r="J132">
        <f t="shared" si="7"/>
        <v>69.899999999999991</v>
      </c>
      <c r="K132" s="4" t="str">
        <f t="shared" si="8"/>
        <v>D</v>
      </c>
      <c r="L132">
        <f>IF(Helper!$E$3="All",1,IF(C132=Helper!$E$3,1,0))</f>
        <v>1</v>
      </c>
    </row>
    <row r="133" spans="1:12" x14ac:dyDescent="0.3">
      <c r="A133" s="3" t="s">
        <v>1733</v>
      </c>
      <c r="B133" s="3" t="s">
        <v>1732</v>
      </c>
      <c r="C133" s="3" t="s">
        <v>8</v>
      </c>
      <c r="D133" s="7">
        <v>0.81</v>
      </c>
      <c r="E133" s="5">
        <v>70</v>
      </c>
      <c r="F133" s="5">
        <v>64</v>
      </c>
      <c r="G133" s="5">
        <v>95</v>
      </c>
      <c r="H133" s="5">
        <v>42</v>
      </c>
      <c r="I133" s="6">
        <f t="shared" si="6"/>
        <v>-53</v>
      </c>
      <c r="J133">
        <f t="shared" si="7"/>
        <v>71.5</v>
      </c>
      <c r="K133" s="4" t="str">
        <f t="shared" si="8"/>
        <v>C</v>
      </c>
      <c r="L133">
        <f>IF(Helper!$E$3="All",1,IF(C133=Helper!$E$3,1,0))</f>
        <v>1</v>
      </c>
    </row>
    <row r="134" spans="1:12" x14ac:dyDescent="0.3">
      <c r="A134" s="3" t="s">
        <v>1731</v>
      </c>
      <c r="B134" s="3" t="s">
        <v>1730</v>
      </c>
      <c r="C134" s="3" t="s">
        <v>8</v>
      </c>
      <c r="D134" s="7">
        <v>0.8</v>
      </c>
      <c r="E134" s="5">
        <v>97</v>
      </c>
      <c r="F134" s="5">
        <v>61</v>
      </c>
      <c r="G134" s="5">
        <v>67</v>
      </c>
      <c r="H134" s="5">
        <v>90</v>
      </c>
      <c r="I134" s="6">
        <f t="shared" si="6"/>
        <v>23</v>
      </c>
      <c r="J134">
        <f t="shared" si="7"/>
        <v>80.7</v>
      </c>
      <c r="K134" s="4" t="str">
        <f t="shared" si="8"/>
        <v>B</v>
      </c>
      <c r="L134">
        <f>IF(Helper!$E$3="All",1,IF(C134=Helper!$E$3,1,0))</f>
        <v>1</v>
      </c>
    </row>
    <row r="135" spans="1:12" x14ac:dyDescent="0.3">
      <c r="A135" s="3" t="s">
        <v>1729</v>
      </c>
      <c r="B135" s="3" t="s">
        <v>1728</v>
      </c>
      <c r="C135" s="3" t="s">
        <v>8</v>
      </c>
      <c r="D135" s="7">
        <v>0.65</v>
      </c>
      <c r="E135" s="5">
        <v>100</v>
      </c>
      <c r="F135" s="5">
        <v>67</v>
      </c>
      <c r="G135" s="5">
        <v>76</v>
      </c>
      <c r="H135" s="5">
        <v>61</v>
      </c>
      <c r="I135" s="6" t="str">
        <f t="shared" si="6"/>
        <v/>
      </c>
      <c r="J135">
        <f t="shared" si="7"/>
        <v>63.15</v>
      </c>
      <c r="K135" s="4" t="str">
        <f t="shared" si="8"/>
        <v>D</v>
      </c>
      <c r="L135">
        <f>IF(Helper!$E$3="All",1,IF(C135=Helper!$E$3,1,0))</f>
        <v>1</v>
      </c>
    </row>
    <row r="136" spans="1:12" x14ac:dyDescent="0.3">
      <c r="A136" s="3" t="s">
        <v>1727</v>
      </c>
      <c r="B136" s="3" t="s">
        <v>1726</v>
      </c>
      <c r="C136" s="3" t="s">
        <v>0</v>
      </c>
      <c r="D136" s="7">
        <v>0.6</v>
      </c>
      <c r="E136" s="5">
        <v>63</v>
      </c>
      <c r="F136" s="5">
        <v>68</v>
      </c>
      <c r="G136" s="5">
        <v>46</v>
      </c>
      <c r="H136" s="5">
        <v>86</v>
      </c>
      <c r="I136" s="6">
        <f t="shared" si="6"/>
        <v>40</v>
      </c>
      <c r="J136">
        <f t="shared" si="7"/>
        <v>59.35</v>
      </c>
      <c r="K136" s="4" t="str">
        <f t="shared" si="8"/>
        <v>F</v>
      </c>
      <c r="L136">
        <f>IF(Helper!$E$3="All",1,IF(C136=Helper!$E$3,1,0))</f>
        <v>1</v>
      </c>
    </row>
    <row r="137" spans="1:12" x14ac:dyDescent="0.3">
      <c r="A137" s="3" t="s">
        <v>1725</v>
      </c>
      <c r="B137" s="3" t="s">
        <v>1724</v>
      </c>
      <c r="C137" s="3" t="s">
        <v>8</v>
      </c>
      <c r="D137" s="7">
        <v>0.64</v>
      </c>
      <c r="E137" s="5">
        <v>59</v>
      </c>
      <c r="F137" s="5">
        <v>52</v>
      </c>
      <c r="G137" s="5">
        <v>43</v>
      </c>
      <c r="H137" s="5">
        <v>43</v>
      </c>
      <c r="I137" s="6" t="str">
        <f t="shared" si="6"/>
        <v/>
      </c>
      <c r="J137">
        <f t="shared" si="7"/>
        <v>39.950000000000003</v>
      </c>
      <c r="K137" s="4" t="str">
        <f t="shared" si="8"/>
        <v>F</v>
      </c>
      <c r="L137">
        <f>IF(Helper!$E$3="All",1,IF(C137=Helper!$E$3,1,0))</f>
        <v>1</v>
      </c>
    </row>
    <row r="138" spans="1:12" x14ac:dyDescent="0.3">
      <c r="A138" s="3" t="s">
        <v>1723</v>
      </c>
      <c r="B138" s="3" t="s">
        <v>1722</v>
      </c>
      <c r="C138" s="3" t="s">
        <v>8</v>
      </c>
      <c r="D138" s="7">
        <v>1</v>
      </c>
      <c r="E138" s="5">
        <v>76</v>
      </c>
      <c r="F138" s="5">
        <v>57</v>
      </c>
      <c r="G138" s="5">
        <v>76</v>
      </c>
      <c r="H138" s="5">
        <v>67</v>
      </c>
      <c r="I138" s="6" t="str">
        <f t="shared" si="6"/>
        <v/>
      </c>
      <c r="J138">
        <f t="shared" si="7"/>
        <v>73.849999999999994</v>
      </c>
      <c r="K138" s="4" t="str">
        <f t="shared" si="8"/>
        <v>C</v>
      </c>
      <c r="L138">
        <f>IF(Helper!$E$3="All",1,IF(C138=Helper!$E$3,1,0))</f>
        <v>1</v>
      </c>
    </row>
    <row r="139" spans="1:12" x14ac:dyDescent="0.3">
      <c r="A139" s="3" t="s">
        <v>1721</v>
      </c>
      <c r="B139" s="3" t="s">
        <v>1720</v>
      </c>
      <c r="C139" s="3" t="s">
        <v>8</v>
      </c>
      <c r="D139" s="7">
        <v>0.71</v>
      </c>
      <c r="E139" s="5">
        <v>43</v>
      </c>
      <c r="F139" s="5">
        <v>41</v>
      </c>
      <c r="G139" s="5">
        <v>95</v>
      </c>
      <c r="H139" s="5">
        <v>51</v>
      </c>
      <c r="I139" s="6">
        <f t="shared" si="6"/>
        <v>-44</v>
      </c>
      <c r="J139">
        <f t="shared" si="7"/>
        <v>72.599999999999994</v>
      </c>
      <c r="K139" s="4" t="str">
        <f t="shared" si="8"/>
        <v>C</v>
      </c>
      <c r="L139">
        <f>IF(Helper!$E$3="All",1,IF(C139=Helper!$E$3,1,0))</f>
        <v>1</v>
      </c>
    </row>
    <row r="140" spans="1:12" x14ac:dyDescent="0.3">
      <c r="A140" s="3" t="s">
        <v>1719</v>
      </c>
      <c r="B140" s="3" t="s">
        <v>1718</v>
      </c>
      <c r="C140" s="3" t="s">
        <v>0</v>
      </c>
      <c r="D140" s="7">
        <v>0.85</v>
      </c>
      <c r="E140" s="5">
        <v>67</v>
      </c>
      <c r="F140" s="5">
        <v>68</v>
      </c>
      <c r="G140" s="5">
        <v>40</v>
      </c>
      <c r="H140" s="5">
        <v>77</v>
      </c>
      <c r="I140" s="6">
        <f t="shared" si="6"/>
        <v>37</v>
      </c>
      <c r="J140">
        <f t="shared" si="7"/>
        <v>63.55</v>
      </c>
      <c r="K140" s="4" t="str">
        <f t="shared" si="8"/>
        <v>D</v>
      </c>
      <c r="L140">
        <f>IF(Helper!$E$3="All",1,IF(C140=Helper!$E$3,1,0))</f>
        <v>1</v>
      </c>
    </row>
    <row r="141" spans="1:12" x14ac:dyDescent="0.3">
      <c r="A141" s="3" t="s">
        <v>1717</v>
      </c>
      <c r="B141" s="3" t="s">
        <v>1716</v>
      </c>
      <c r="C141" s="3" t="s">
        <v>8</v>
      </c>
      <c r="D141" s="7">
        <v>0.93</v>
      </c>
      <c r="E141" s="5">
        <v>83</v>
      </c>
      <c r="F141" s="5">
        <v>60</v>
      </c>
      <c r="G141" s="5">
        <v>40</v>
      </c>
      <c r="H141" s="5">
        <v>90</v>
      </c>
      <c r="I141" s="6">
        <f t="shared" si="6"/>
        <v>50</v>
      </c>
      <c r="J141">
        <f t="shared" si="7"/>
        <v>69.150000000000006</v>
      </c>
      <c r="K141" s="4" t="str">
        <f t="shared" si="8"/>
        <v>D</v>
      </c>
      <c r="L141">
        <f>IF(Helper!$E$3="All",1,IF(C141=Helper!$E$3,1,0))</f>
        <v>1</v>
      </c>
    </row>
    <row r="142" spans="1:12" x14ac:dyDescent="0.3">
      <c r="A142" s="3" t="s">
        <v>1715</v>
      </c>
      <c r="B142" s="3" t="s">
        <v>1714</v>
      </c>
      <c r="C142" s="3" t="s">
        <v>3</v>
      </c>
      <c r="D142" s="7">
        <v>0.73</v>
      </c>
      <c r="E142" s="5">
        <v>59</v>
      </c>
      <c r="F142" s="5">
        <v>54</v>
      </c>
      <c r="G142" s="5">
        <v>86</v>
      </c>
      <c r="H142" s="5">
        <v>75</v>
      </c>
      <c r="I142" s="6" t="str">
        <f t="shared" si="6"/>
        <v/>
      </c>
      <c r="J142">
        <f t="shared" si="7"/>
        <v>80.05</v>
      </c>
      <c r="K142" s="4" t="str">
        <f t="shared" si="8"/>
        <v>B</v>
      </c>
      <c r="L142">
        <f>IF(Helper!$E$3="All",1,IF(C142=Helper!$E$3,1,0))</f>
        <v>1</v>
      </c>
    </row>
    <row r="143" spans="1:12" x14ac:dyDescent="0.3">
      <c r="A143" s="3" t="s">
        <v>1713</v>
      </c>
      <c r="B143" s="3" t="s">
        <v>1712</v>
      </c>
      <c r="C143" s="3" t="s">
        <v>8</v>
      </c>
      <c r="D143" s="7">
        <v>0.85</v>
      </c>
      <c r="E143" s="5">
        <v>99</v>
      </c>
      <c r="F143" s="5">
        <v>91</v>
      </c>
      <c r="G143" s="5">
        <v>59</v>
      </c>
      <c r="H143" s="5">
        <v>86</v>
      </c>
      <c r="I143" s="6">
        <f t="shared" si="6"/>
        <v>27</v>
      </c>
      <c r="J143">
        <f t="shared" si="7"/>
        <v>77.5</v>
      </c>
      <c r="K143" s="4" t="str">
        <f t="shared" si="8"/>
        <v>C</v>
      </c>
      <c r="L143">
        <f>IF(Helper!$E$3="All",1,IF(C143=Helper!$E$3,1,0))</f>
        <v>1</v>
      </c>
    </row>
    <row r="144" spans="1:12" x14ac:dyDescent="0.3">
      <c r="A144" s="3" t="s">
        <v>1711</v>
      </c>
      <c r="B144" s="3" t="s">
        <v>1710</v>
      </c>
      <c r="C144" s="3" t="s">
        <v>3</v>
      </c>
      <c r="D144" s="7">
        <v>0.86</v>
      </c>
      <c r="E144" s="5">
        <v>63</v>
      </c>
      <c r="F144" s="5">
        <v>66</v>
      </c>
      <c r="G144" s="5">
        <v>58</v>
      </c>
      <c r="H144" s="5">
        <v>80</v>
      </c>
      <c r="I144" s="6">
        <f t="shared" si="6"/>
        <v>22</v>
      </c>
      <c r="J144">
        <f t="shared" si="7"/>
        <v>71.650000000000006</v>
      </c>
      <c r="K144" s="4" t="str">
        <f t="shared" si="8"/>
        <v>C</v>
      </c>
      <c r="L144">
        <f>IF(Helper!$E$3="All",1,IF(C144=Helper!$E$3,1,0))</f>
        <v>1</v>
      </c>
    </row>
    <row r="145" spans="1:12" x14ac:dyDescent="0.3">
      <c r="A145" s="3" t="s">
        <v>1709</v>
      </c>
      <c r="B145" s="3" t="s">
        <v>1708</v>
      </c>
      <c r="C145" s="3" t="s">
        <v>3</v>
      </c>
      <c r="D145" s="7">
        <v>0.68</v>
      </c>
      <c r="E145" s="5">
        <v>89</v>
      </c>
      <c r="F145" s="5">
        <v>89</v>
      </c>
      <c r="G145" s="5">
        <v>68</v>
      </c>
      <c r="H145" s="5">
        <v>44</v>
      </c>
      <c r="I145" s="6">
        <f t="shared" si="6"/>
        <v>-24</v>
      </c>
      <c r="J145">
        <f t="shared" si="7"/>
        <v>53.7</v>
      </c>
      <c r="K145" s="4" t="str">
        <f t="shared" si="8"/>
        <v>F</v>
      </c>
      <c r="L145">
        <f>IF(Helper!$E$3="All",1,IF(C145=Helper!$E$3,1,0))</f>
        <v>1</v>
      </c>
    </row>
    <row r="146" spans="1:12" x14ac:dyDescent="0.3">
      <c r="A146" s="3" t="s">
        <v>1707</v>
      </c>
      <c r="B146" s="3" t="s">
        <v>1706</v>
      </c>
      <c r="C146" s="3" t="s">
        <v>3</v>
      </c>
      <c r="D146" s="7">
        <v>0.85</v>
      </c>
      <c r="E146" s="5">
        <v>88</v>
      </c>
      <c r="F146" s="5">
        <v>70</v>
      </c>
      <c r="G146" s="5">
        <v>49</v>
      </c>
      <c r="H146" s="5">
        <v>52</v>
      </c>
      <c r="I146" s="6" t="str">
        <f t="shared" si="6"/>
        <v/>
      </c>
      <c r="J146">
        <f t="shared" si="7"/>
        <v>58.3</v>
      </c>
      <c r="K146" s="4" t="str">
        <f t="shared" si="8"/>
        <v>F</v>
      </c>
      <c r="L146">
        <f>IF(Helper!$E$3="All",1,IF(C146=Helper!$E$3,1,0))</f>
        <v>1</v>
      </c>
    </row>
    <row r="147" spans="1:12" x14ac:dyDescent="0.3">
      <c r="A147" s="3" t="s">
        <v>1705</v>
      </c>
      <c r="B147" s="3" t="s">
        <v>1704</v>
      </c>
      <c r="C147" s="3" t="s">
        <v>0</v>
      </c>
      <c r="D147" s="7">
        <v>0.81</v>
      </c>
      <c r="E147" s="5">
        <v>90</v>
      </c>
      <c r="F147" s="5">
        <v>54</v>
      </c>
      <c r="G147" s="5">
        <v>99</v>
      </c>
      <c r="H147" s="5">
        <v>62</v>
      </c>
      <c r="I147" s="6">
        <f t="shared" si="6"/>
        <v>-37</v>
      </c>
      <c r="J147">
        <f t="shared" si="7"/>
        <v>81.599999999999994</v>
      </c>
      <c r="K147" s="4" t="str">
        <f t="shared" si="8"/>
        <v>B</v>
      </c>
      <c r="L147">
        <f>IF(Helper!$E$3="All",1,IF(C147=Helper!$E$3,1,0))</f>
        <v>1</v>
      </c>
    </row>
    <row r="148" spans="1:12" x14ac:dyDescent="0.3">
      <c r="A148" s="3" t="s">
        <v>1703</v>
      </c>
      <c r="B148" s="3" t="s">
        <v>1702</v>
      </c>
      <c r="C148" s="3" t="s">
        <v>0</v>
      </c>
      <c r="D148" s="7">
        <v>0.89</v>
      </c>
      <c r="E148" s="5">
        <v>71</v>
      </c>
      <c r="F148" s="5">
        <v>90</v>
      </c>
      <c r="G148" s="5">
        <v>57</v>
      </c>
      <c r="H148" s="5">
        <v>97</v>
      </c>
      <c r="I148" s="6">
        <f t="shared" si="6"/>
        <v>40</v>
      </c>
      <c r="J148">
        <f t="shared" si="7"/>
        <v>79.649999999999991</v>
      </c>
      <c r="K148" s="4" t="str">
        <f t="shared" si="8"/>
        <v>C</v>
      </c>
      <c r="L148">
        <f>IF(Helper!$E$3="All",1,IF(C148=Helper!$E$3,1,0))</f>
        <v>1</v>
      </c>
    </row>
    <row r="149" spans="1:12" x14ac:dyDescent="0.3">
      <c r="A149" s="3" t="s">
        <v>1701</v>
      </c>
      <c r="B149" s="3" t="s">
        <v>1700</v>
      </c>
      <c r="C149" s="3" t="s">
        <v>0</v>
      </c>
      <c r="D149" s="7">
        <v>0.76</v>
      </c>
      <c r="E149" s="5">
        <v>80</v>
      </c>
      <c r="F149" s="5">
        <v>62</v>
      </c>
      <c r="G149" s="5">
        <v>67</v>
      </c>
      <c r="H149" s="5">
        <v>89</v>
      </c>
      <c r="I149" s="6">
        <f t="shared" si="6"/>
        <v>22</v>
      </c>
      <c r="J149">
        <f t="shared" si="7"/>
        <v>79.5</v>
      </c>
      <c r="K149" s="4" t="str">
        <f t="shared" si="8"/>
        <v>C</v>
      </c>
      <c r="L149">
        <f>IF(Helper!$E$3="All",1,IF(C149=Helper!$E$3,1,0))</f>
        <v>1</v>
      </c>
    </row>
    <row r="150" spans="1:12" x14ac:dyDescent="0.3">
      <c r="A150" s="3" t="s">
        <v>1699</v>
      </c>
      <c r="B150" s="3" t="s">
        <v>1698</v>
      </c>
      <c r="C150" s="3" t="s">
        <v>8</v>
      </c>
      <c r="D150" s="7">
        <v>0.85</v>
      </c>
      <c r="E150" s="5">
        <v>75</v>
      </c>
      <c r="F150" s="5">
        <v>63</v>
      </c>
      <c r="G150" s="5">
        <v>74</v>
      </c>
      <c r="H150" s="5">
        <v>69</v>
      </c>
      <c r="I150" s="6" t="str">
        <f t="shared" si="6"/>
        <v/>
      </c>
      <c r="J150">
        <f t="shared" si="7"/>
        <v>74.099999999999994</v>
      </c>
      <c r="K150" s="4" t="str">
        <f t="shared" si="8"/>
        <v>C</v>
      </c>
      <c r="L150">
        <f>IF(Helper!$E$3="All",1,IF(C150=Helper!$E$3,1,0))</f>
        <v>1</v>
      </c>
    </row>
    <row r="151" spans="1:12" x14ac:dyDescent="0.3">
      <c r="A151" s="3" t="s">
        <v>1697</v>
      </c>
      <c r="B151" s="3" t="s">
        <v>1696</v>
      </c>
      <c r="C151" s="3" t="s">
        <v>3</v>
      </c>
      <c r="D151" s="7">
        <v>0.95000000000000007</v>
      </c>
      <c r="E151" s="5">
        <v>97</v>
      </c>
      <c r="F151" s="5">
        <v>83</v>
      </c>
      <c r="G151" s="5">
        <v>82</v>
      </c>
      <c r="H151" s="5">
        <v>76</v>
      </c>
      <c r="I151" s="6" t="str">
        <f t="shared" si="6"/>
        <v/>
      </c>
      <c r="J151">
        <f t="shared" si="7"/>
        <v>82.199999999999989</v>
      </c>
      <c r="K151" s="4" t="str">
        <f t="shared" si="8"/>
        <v>B</v>
      </c>
      <c r="L151">
        <f>IF(Helper!$E$3="All",1,IF(C151=Helper!$E$3,1,0))</f>
        <v>1</v>
      </c>
    </row>
    <row r="152" spans="1:12" x14ac:dyDescent="0.3">
      <c r="A152" s="3" t="s">
        <v>1695</v>
      </c>
      <c r="B152" s="3" t="s">
        <v>1694</v>
      </c>
      <c r="C152" s="3" t="s">
        <v>0</v>
      </c>
      <c r="D152" s="7">
        <v>0.6</v>
      </c>
      <c r="E152" s="5">
        <v>92</v>
      </c>
      <c r="F152" s="5">
        <v>52</v>
      </c>
      <c r="G152" s="5">
        <v>86</v>
      </c>
      <c r="H152" s="5">
        <v>64</v>
      </c>
      <c r="I152" s="6" t="str">
        <f t="shared" si="6"/>
        <v/>
      </c>
      <c r="J152">
        <f t="shared" si="7"/>
        <v>67.2</v>
      </c>
      <c r="K152" s="4" t="str">
        <f t="shared" si="8"/>
        <v>D</v>
      </c>
      <c r="L152">
        <f>IF(Helper!$E$3="All",1,IF(C152=Helper!$E$3,1,0))</f>
        <v>1</v>
      </c>
    </row>
    <row r="153" spans="1:12" x14ac:dyDescent="0.3">
      <c r="A153" s="3" t="s">
        <v>1693</v>
      </c>
      <c r="B153" s="3" t="s">
        <v>1692</v>
      </c>
      <c r="C153" s="3" t="s">
        <v>0</v>
      </c>
      <c r="D153" s="7">
        <v>0.67</v>
      </c>
      <c r="E153" s="5">
        <v>73</v>
      </c>
      <c r="F153" s="5">
        <v>61</v>
      </c>
      <c r="G153" s="5">
        <v>70</v>
      </c>
      <c r="H153" s="5">
        <v>87</v>
      </c>
      <c r="I153" s="6">
        <f t="shared" si="6"/>
        <v>17</v>
      </c>
      <c r="J153">
        <f t="shared" si="7"/>
        <v>69.5</v>
      </c>
      <c r="K153" s="4" t="str">
        <f t="shared" si="8"/>
        <v>D</v>
      </c>
      <c r="L153">
        <f>IF(Helper!$E$3="All",1,IF(C153=Helper!$E$3,1,0))</f>
        <v>1</v>
      </c>
    </row>
    <row r="154" spans="1:12" x14ac:dyDescent="0.3">
      <c r="A154" s="3" t="s">
        <v>1691</v>
      </c>
      <c r="B154" s="3" t="s">
        <v>1690</v>
      </c>
      <c r="C154" s="3" t="s">
        <v>8</v>
      </c>
      <c r="D154" s="7">
        <v>0.94000000000000006</v>
      </c>
      <c r="E154" s="5">
        <v>75</v>
      </c>
      <c r="F154" s="5">
        <v>82</v>
      </c>
      <c r="G154" s="5">
        <v>66</v>
      </c>
      <c r="H154" s="5">
        <v>66</v>
      </c>
      <c r="I154" s="6" t="str">
        <f t="shared" si="6"/>
        <v/>
      </c>
      <c r="J154">
        <f t="shared" si="7"/>
        <v>70.650000000000006</v>
      </c>
      <c r="K154" s="4" t="str">
        <f t="shared" si="8"/>
        <v>C</v>
      </c>
      <c r="L154">
        <f>IF(Helper!$E$3="All",1,IF(C154=Helper!$E$3,1,0))</f>
        <v>1</v>
      </c>
    </row>
    <row r="155" spans="1:12" x14ac:dyDescent="0.3">
      <c r="A155" s="3" t="s">
        <v>1689</v>
      </c>
      <c r="B155" s="3" t="s">
        <v>1688</v>
      </c>
      <c r="C155" s="3" t="s">
        <v>0</v>
      </c>
      <c r="D155" s="7">
        <v>0.74</v>
      </c>
      <c r="E155" s="5">
        <v>41</v>
      </c>
      <c r="F155" s="5">
        <v>76</v>
      </c>
      <c r="G155" s="5">
        <v>50</v>
      </c>
      <c r="H155" s="5">
        <v>90</v>
      </c>
      <c r="I155" s="6">
        <f t="shared" si="6"/>
        <v>40</v>
      </c>
      <c r="J155">
        <f t="shared" si="7"/>
        <v>71.849999999999994</v>
      </c>
      <c r="K155" s="4" t="str">
        <f t="shared" si="8"/>
        <v>C</v>
      </c>
      <c r="L155">
        <f>IF(Helper!$E$3="All",1,IF(C155=Helper!$E$3,1,0))</f>
        <v>1</v>
      </c>
    </row>
    <row r="156" spans="1:12" x14ac:dyDescent="0.3">
      <c r="A156" s="3" t="s">
        <v>1687</v>
      </c>
      <c r="B156" s="3" t="s">
        <v>1686</v>
      </c>
      <c r="C156" s="3" t="s">
        <v>8</v>
      </c>
      <c r="D156" s="7">
        <v>0.81</v>
      </c>
      <c r="E156" s="5">
        <v>54</v>
      </c>
      <c r="F156" s="5">
        <v>100</v>
      </c>
      <c r="G156" s="5">
        <v>88</v>
      </c>
      <c r="H156" s="5">
        <v>53</v>
      </c>
      <c r="I156" s="6">
        <f t="shared" si="6"/>
        <v>-35</v>
      </c>
      <c r="J156">
        <f t="shared" si="7"/>
        <v>74.100000000000009</v>
      </c>
      <c r="K156" s="4" t="str">
        <f t="shared" si="8"/>
        <v>C</v>
      </c>
      <c r="L156">
        <f>IF(Helper!$E$3="All",1,IF(C156=Helper!$E$3,1,0))</f>
        <v>1</v>
      </c>
    </row>
    <row r="157" spans="1:12" x14ac:dyDescent="0.3">
      <c r="A157" s="3" t="s">
        <v>1685</v>
      </c>
      <c r="B157" s="3" t="s">
        <v>1684</v>
      </c>
      <c r="C157" s="3" t="s">
        <v>17</v>
      </c>
      <c r="D157" s="7">
        <v>0.73</v>
      </c>
      <c r="E157" s="5">
        <v>73</v>
      </c>
      <c r="F157" s="5">
        <v>72</v>
      </c>
      <c r="G157" s="5">
        <v>88</v>
      </c>
      <c r="H157" s="5">
        <v>96</v>
      </c>
      <c r="I157" s="6" t="str">
        <f t="shared" si="6"/>
        <v/>
      </c>
      <c r="J157">
        <f t="shared" si="7"/>
        <v>90.85</v>
      </c>
      <c r="K157" s="4" t="str">
        <f t="shared" si="8"/>
        <v>A</v>
      </c>
      <c r="L157">
        <f>IF(Helper!$E$3="All",1,IF(C157=Helper!$E$3,1,0))</f>
        <v>1</v>
      </c>
    </row>
    <row r="158" spans="1:12" x14ac:dyDescent="0.3">
      <c r="A158" s="3" t="s">
        <v>1683</v>
      </c>
      <c r="B158" s="3" t="s">
        <v>1682</v>
      </c>
      <c r="C158" s="3" t="s">
        <v>0</v>
      </c>
      <c r="D158" s="7">
        <v>0.85</v>
      </c>
      <c r="E158" s="5">
        <v>75</v>
      </c>
      <c r="F158" s="5">
        <v>95</v>
      </c>
      <c r="G158" s="5">
        <v>77</v>
      </c>
      <c r="H158" s="5">
        <v>87</v>
      </c>
      <c r="I158" s="6" t="str">
        <f t="shared" si="6"/>
        <v/>
      </c>
      <c r="J158">
        <f t="shared" si="7"/>
        <v>84.1</v>
      </c>
      <c r="K158" s="4" t="str">
        <f t="shared" si="8"/>
        <v>B</v>
      </c>
      <c r="L158">
        <f>IF(Helper!$E$3="All",1,IF(C158=Helper!$E$3,1,0))</f>
        <v>1</v>
      </c>
    </row>
    <row r="159" spans="1:12" x14ac:dyDescent="0.3">
      <c r="A159" s="3" t="s">
        <v>1681</v>
      </c>
      <c r="B159" s="3" t="s">
        <v>1680</v>
      </c>
      <c r="C159" s="3" t="s">
        <v>17</v>
      </c>
      <c r="D159" s="7">
        <v>0.87</v>
      </c>
      <c r="E159" s="5">
        <v>45</v>
      </c>
      <c r="F159" s="5">
        <v>42</v>
      </c>
      <c r="G159" s="5">
        <v>44</v>
      </c>
      <c r="H159" s="5">
        <v>98</v>
      </c>
      <c r="I159" s="6">
        <f t="shared" si="6"/>
        <v>54</v>
      </c>
      <c r="J159">
        <f t="shared" si="7"/>
        <v>71.150000000000006</v>
      </c>
      <c r="K159" s="4" t="str">
        <f t="shared" si="8"/>
        <v>C</v>
      </c>
      <c r="L159">
        <f>IF(Helper!$E$3="All",1,IF(C159=Helper!$E$3,1,0))</f>
        <v>1</v>
      </c>
    </row>
    <row r="160" spans="1:12" x14ac:dyDescent="0.3">
      <c r="A160" s="3" t="s">
        <v>1679</v>
      </c>
      <c r="B160" s="3" t="s">
        <v>1678</v>
      </c>
      <c r="C160" s="3" t="s">
        <v>8</v>
      </c>
      <c r="D160" s="7">
        <v>0.82000000000000006</v>
      </c>
      <c r="E160" s="5">
        <v>78</v>
      </c>
      <c r="F160" s="5">
        <v>93</v>
      </c>
      <c r="G160" s="5">
        <v>47</v>
      </c>
      <c r="H160" s="5">
        <v>86</v>
      </c>
      <c r="I160" s="6">
        <f t="shared" si="6"/>
        <v>39</v>
      </c>
      <c r="J160">
        <f t="shared" si="7"/>
        <v>71.75</v>
      </c>
      <c r="K160" s="4" t="str">
        <f t="shared" si="8"/>
        <v>C</v>
      </c>
      <c r="L160">
        <f>IF(Helper!$E$3="All",1,IF(C160=Helper!$E$3,1,0))</f>
        <v>1</v>
      </c>
    </row>
    <row r="161" spans="1:12" x14ac:dyDescent="0.3">
      <c r="A161" s="3" t="s">
        <v>1677</v>
      </c>
      <c r="B161" s="3" t="s">
        <v>1676</v>
      </c>
      <c r="C161" s="3" t="s">
        <v>3</v>
      </c>
      <c r="D161" s="7">
        <v>0.73</v>
      </c>
      <c r="E161" s="5">
        <v>81</v>
      </c>
      <c r="F161" s="5">
        <v>58</v>
      </c>
      <c r="G161" s="5">
        <v>73</v>
      </c>
      <c r="H161" s="5">
        <v>93</v>
      </c>
      <c r="I161" s="6">
        <f t="shared" si="6"/>
        <v>20</v>
      </c>
      <c r="J161">
        <f t="shared" si="7"/>
        <v>83.35</v>
      </c>
      <c r="K161" s="4" t="str">
        <f t="shared" si="8"/>
        <v>B</v>
      </c>
      <c r="L161">
        <f>IF(Helper!$E$3="All",1,IF(C161=Helper!$E$3,1,0))</f>
        <v>1</v>
      </c>
    </row>
    <row r="162" spans="1:12" x14ac:dyDescent="0.3">
      <c r="A162" s="3" t="s">
        <v>1675</v>
      </c>
      <c r="B162" s="3" t="s">
        <v>1674</v>
      </c>
      <c r="C162" s="3" t="s">
        <v>0</v>
      </c>
      <c r="D162" s="7">
        <v>0.83000000000000007</v>
      </c>
      <c r="E162" s="5">
        <v>90</v>
      </c>
      <c r="F162" s="5">
        <v>62</v>
      </c>
      <c r="G162" s="5">
        <v>87</v>
      </c>
      <c r="H162" s="5">
        <v>75</v>
      </c>
      <c r="I162" s="6" t="str">
        <f t="shared" si="6"/>
        <v/>
      </c>
      <c r="J162">
        <f t="shared" si="7"/>
        <v>82.4</v>
      </c>
      <c r="K162" s="4" t="str">
        <f t="shared" si="8"/>
        <v>B</v>
      </c>
      <c r="L162">
        <f>IF(Helper!$E$3="All",1,IF(C162=Helper!$E$3,1,0))</f>
        <v>1</v>
      </c>
    </row>
    <row r="163" spans="1:12" x14ac:dyDescent="0.3">
      <c r="A163" s="3" t="s">
        <v>1673</v>
      </c>
      <c r="B163" s="3" t="s">
        <v>1672</v>
      </c>
      <c r="C163" s="3" t="s">
        <v>8</v>
      </c>
      <c r="D163" s="7">
        <v>0.61</v>
      </c>
      <c r="E163" s="5">
        <v>90</v>
      </c>
      <c r="F163" s="5">
        <v>68</v>
      </c>
      <c r="G163" s="5">
        <v>91</v>
      </c>
      <c r="H163" s="5">
        <v>78</v>
      </c>
      <c r="I163" s="6" t="str">
        <f t="shared" si="6"/>
        <v/>
      </c>
      <c r="J163">
        <f t="shared" si="7"/>
        <v>75.5</v>
      </c>
      <c r="K163" s="4" t="str">
        <f t="shared" si="8"/>
        <v>C</v>
      </c>
      <c r="L163">
        <f>IF(Helper!$E$3="All",1,IF(C163=Helper!$E$3,1,0))</f>
        <v>1</v>
      </c>
    </row>
    <row r="164" spans="1:12" x14ac:dyDescent="0.3">
      <c r="A164" s="3" t="s">
        <v>1671</v>
      </c>
      <c r="B164" s="3" t="s">
        <v>1670</v>
      </c>
      <c r="C164" s="3" t="s">
        <v>3</v>
      </c>
      <c r="D164" s="7">
        <v>0.85</v>
      </c>
      <c r="E164" s="5">
        <v>97</v>
      </c>
      <c r="F164" s="5">
        <v>69</v>
      </c>
      <c r="G164" s="5">
        <v>95</v>
      </c>
      <c r="H164" s="5">
        <v>55</v>
      </c>
      <c r="I164" s="6">
        <f t="shared" si="6"/>
        <v>-40</v>
      </c>
      <c r="J164">
        <f t="shared" si="7"/>
        <v>78.3</v>
      </c>
      <c r="K164" s="4" t="str">
        <f t="shared" si="8"/>
        <v>C</v>
      </c>
      <c r="L164">
        <f>IF(Helper!$E$3="All",1,IF(C164=Helper!$E$3,1,0))</f>
        <v>1</v>
      </c>
    </row>
    <row r="165" spans="1:12" x14ac:dyDescent="0.3">
      <c r="A165" s="3" t="s">
        <v>1669</v>
      </c>
      <c r="B165" s="3" t="s">
        <v>1668</v>
      </c>
      <c r="C165" s="3" t="s">
        <v>3</v>
      </c>
      <c r="D165" s="7">
        <v>0.73</v>
      </c>
      <c r="E165" s="5">
        <v>93</v>
      </c>
      <c r="F165" s="5">
        <v>78</v>
      </c>
      <c r="G165" s="5">
        <v>51</v>
      </c>
      <c r="H165" s="5">
        <v>95</v>
      </c>
      <c r="I165" s="6">
        <f t="shared" si="6"/>
        <v>44</v>
      </c>
      <c r="J165">
        <f t="shared" si="7"/>
        <v>76.95</v>
      </c>
      <c r="K165" s="4" t="str">
        <f t="shared" si="8"/>
        <v>C</v>
      </c>
      <c r="L165">
        <f>IF(Helper!$E$3="All",1,IF(C165=Helper!$E$3,1,0))</f>
        <v>1</v>
      </c>
    </row>
    <row r="166" spans="1:12" x14ac:dyDescent="0.3">
      <c r="A166" s="3" t="s">
        <v>1667</v>
      </c>
      <c r="B166" s="3" t="s">
        <v>1666</v>
      </c>
      <c r="C166" s="3" t="s">
        <v>17</v>
      </c>
      <c r="D166" s="7">
        <v>0.66</v>
      </c>
      <c r="E166" s="5">
        <v>100</v>
      </c>
      <c r="F166" s="5">
        <v>83</v>
      </c>
      <c r="G166" s="5">
        <v>77</v>
      </c>
      <c r="H166" s="5">
        <v>61</v>
      </c>
      <c r="I166" s="6" t="str">
        <f t="shared" si="6"/>
        <v/>
      </c>
      <c r="J166">
        <f t="shared" si="7"/>
        <v>64.349999999999994</v>
      </c>
      <c r="K166" s="4" t="str">
        <f t="shared" si="8"/>
        <v>D</v>
      </c>
      <c r="L166">
        <f>IF(Helper!$E$3="All",1,IF(C166=Helper!$E$3,1,0))</f>
        <v>1</v>
      </c>
    </row>
    <row r="167" spans="1:12" x14ac:dyDescent="0.3">
      <c r="A167" s="3" t="s">
        <v>1665</v>
      </c>
      <c r="B167" s="3" t="s">
        <v>1664</v>
      </c>
      <c r="C167" s="3" t="s">
        <v>8</v>
      </c>
      <c r="D167" s="7">
        <v>0.62</v>
      </c>
      <c r="E167" s="5">
        <v>51</v>
      </c>
      <c r="F167" s="5">
        <v>86</v>
      </c>
      <c r="G167" s="5">
        <v>40</v>
      </c>
      <c r="H167" s="5">
        <v>60</v>
      </c>
      <c r="I167" s="6">
        <f t="shared" si="6"/>
        <v>20</v>
      </c>
      <c r="J167">
        <f t="shared" si="7"/>
        <v>46.85</v>
      </c>
      <c r="K167" s="4" t="str">
        <f t="shared" si="8"/>
        <v>F</v>
      </c>
      <c r="L167">
        <f>IF(Helper!$E$3="All",1,IF(C167=Helper!$E$3,1,0))</f>
        <v>1</v>
      </c>
    </row>
    <row r="168" spans="1:12" x14ac:dyDescent="0.3">
      <c r="A168" s="3" t="s">
        <v>1663</v>
      </c>
      <c r="B168" s="3" t="s">
        <v>1662</v>
      </c>
      <c r="C168" s="3" t="s">
        <v>3</v>
      </c>
      <c r="D168" s="7">
        <v>0.82000000000000006</v>
      </c>
      <c r="E168" s="5">
        <v>42</v>
      </c>
      <c r="F168" s="5">
        <v>64</v>
      </c>
      <c r="G168" s="5">
        <v>70</v>
      </c>
      <c r="H168" s="5">
        <v>93</v>
      </c>
      <c r="I168" s="6">
        <f t="shared" si="6"/>
        <v>23</v>
      </c>
      <c r="J168">
        <f t="shared" si="7"/>
        <v>80.5</v>
      </c>
      <c r="K168" s="4" t="str">
        <f t="shared" si="8"/>
        <v>B</v>
      </c>
      <c r="L168">
        <f>IF(Helper!$E$3="All",1,IF(C168=Helper!$E$3,1,0))</f>
        <v>1</v>
      </c>
    </row>
    <row r="169" spans="1:12" x14ac:dyDescent="0.3">
      <c r="A169" s="3" t="s">
        <v>1661</v>
      </c>
      <c r="B169" s="3" t="s">
        <v>1660</v>
      </c>
      <c r="C169" s="3" t="s">
        <v>0</v>
      </c>
      <c r="D169" s="7">
        <v>0.77</v>
      </c>
      <c r="E169" s="5">
        <v>84</v>
      </c>
      <c r="F169" s="5">
        <v>76</v>
      </c>
      <c r="G169" s="5">
        <v>43</v>
      </c>
      <c r="H169" s="5">
        <v>60</v>
      </c>
      <c r="I169" s="6">
        <f t="shared" si="6"/>
        <v>17</v>
      </c>
      <c r="J169">
        <f t="shared" si="7"/>
        <v>59.2</v>
      </c>
      <c r="K169" s="4" t="str">
        <f t="shared" si="8"/>
        <v>F</v>
      </c>
      <c r="L169">
        <f>IF(Helper!$E$3="All",1,IF(C169=Helper!$E$3,1,0))</f>
        <v>1</v>
      </c>
    </row>
    <row r="170" spans="1:12" x14ac:dyDescent="0.3">
      <c r="A170" s="3" t="s">
        <v>1659</v>
      </c>
      <c r="B170" s="3" t="s">
        <v>1658</v>
      </c>
      <c r="C170" s="3" t="s">
        <v>0</v>
      </c>
      <c r="D170" s="7">
        <v>0.97</v>
      </c>
      <c r="E170" s="5">
        <v>57</v>
      </c>
      <c r="F170" s="5">
        <v>86</v>
      </c>
      <c r="G170" s="5">
        <v>88</v>
      </c>
      <c r="H170" s="5">
        <v>47</v>
      </c>
      <c r="I170" s="6">
        <f t="shared" si="6"/>
        <v>-41</v>
      </c>
      <c r="J170">
        <f t="shared" si="7"/>
        <v>71.150000000000006</v>
      </c>
      <c r="K170" s="4" t="str">
        <f t="shared" si="8"/>
        <v>C</v>
      </c>
      <c r="L170">
        <f>IF(Helper!$E$3="All",1,IF(C170=Helper!$E$3,1,0))</f>
        <v>1</v>
      </c>
    </row>
    <row r="171" spans="1:12" x14ac:dyDescent="0.3">
      <c r="A171" s="3" t="s">
        <v>1657</v>
      </c>
      <c r="B171" s="3" t="s">
        <v>1656</v>
      </c>
      <c r="C171" s="3" t="s">
        <v>17</v>
      </c>
      <c r="D171" s="7">
        <v>0.94000000000000006</v>
      </c>
      <c r="E171" s="5">
        <v>79</v>
      </c>
      <c r="F171" s="5">
        <v>47</v>
      </c>
      <c r="G171" s="5">
        <v>84</v>
      </c>
      <c r="H171" s="5">
        <v>88</v>
      </c>
      <c r="I171" s="6" t="str">
        <f t="shared" si="6"/>
        <v/>
      </c>
      <c r="J171">
        <f t="shared" si="7"/>
        <v>85.1</v>
      </c>
      <c r="K171" s="4" t="str">
        <f t="shared" si="8"/>
        <v>B</v>
      </c>
      <c r="L171">
        <f>IF(Helper!$E$3="All",1,IF(C171=Helper!$E$3,1,0))</f>
        <v>1</v>
      </c>
    </row>
    <row r="172" spans="1:12" x14ac:dyDescent="0.3">
      <c r="A172" s="3" t="s">
        <v>1655</v>
      </c>
      <c r="B172" s="3" t="s">
        <v>1654</v>
      </c>
      <c r="C172" s="3" t="s">
        <v>3</v>
      </c>
      <c r="D172" s="7">
        <v>0.74</v>
      </c>
      <c r="E172" s="5">
        <v>60</v>
      </c>
      <c r="F172" s="5">
        <v>81</v>
      </c>
      <c r="G172" s="5">
        <v>89</v>
      </c>
      <c r="H172" s="5">
        <v>55</v>
      </c>
      <c r="I172" s="6">
        <f t="shared" si="6"/>
        <v>-34</v>
      </c>
      <c r="J172">
        <f t="shared" si="7"/>
        <v>74.650000000000006</v>
      </c>
      <c r="K172" s="4" t="str">
        <f t="shared" si="8"/>
        <v>C</v>
      </c>
      <c r="L172">
        <f>IF(Helper!$E$3="All",1,IF(C172=Helper!$E$3,1,0))</f>
        <v>1</v>
      </c>
    </row>
    <row r="173" spans="1:12" x14ac:dyDescent="0.3">
      <c r="A173" s="3" t="s">
        <v>1653</v>
      </c>
      <c r="B173" s="3" t="s">
        <v>1652</v>
      </c>
      <c r="C173" s="3" t="s">
        <v>8</v>
      </c>
      <c r="D173" s="7">
        <v>0.84</v>
      </c>
      <c r="E173" s="5">
        <v>54</v>
      </c>
      <c r="F173" s="5">
        <v>97</v>
      </c>
      <c r="G173" s="5">
        <v>44</v>
      </c>
      <c r="H173" s="5">
        <v>98</v>
      </c>
      <c r="I173" s="6">
        <f t="shared" si="6"/>
        <v>54</v>
      </c>
      <c r="J173">
        <f t="shared" si="7"/>
        <v>74.349999999999994</v>
      </c>
      <c r="K173" s="4" t="str">
        <f t="shared" si="8"/>
        <v>C</v>
      </c>
      <c r="L173">
        <f>IF(Helper!$E$3="All",1,IF(C173=Helper!$E$3,1,0))</f>
        <v>1</v>
      </c>
    </row>
    <row r="174" spans="1:12" x14ac:dyDescent="0.3">
      <c r="A174" s="3" t="s">
        <v>1651</v>
      </c>
      <c r="B174" s="3" t="s">
        <v>1650</v>
      </c>
      <c r="C174" s="3" t="s">
        <v>0</v>
      </c>
      <c r="D174" s="7">
        <v>0.96</v>
      </c>
      <c r="E174" s="5">
        <v>72</v>
      </c>
      <c r="F174" s="5">
        <v>55</v>
      </c>
      <c r="G174" s="5">
        <v>69</v>
      </c>
      <c r="H174" s="5">
        <v>94</v>
      </c>
      <c r="I174" s="6">
        <f t="shared" si="6"/>
        <v>25</v>
      </c>
      <c r="J174">
        <f t="shared" si="7"/>
        <v>81.55</v>
      </c>
      <c r="K174" s="4" t="str">
        <f t="shared" si="8"/>
        <v>B</v>
      </c>
      <c r="L174">
        <f>IF(Helper!$E$3="All",1,IF(C174=Helper!$E$3,1,0))</f>
        <v>1</v>
      </c>
    </row>
    <row r="175" spans="1:12" x14ac:dyDescent="0.3">
      <c r="A175" s="3" t="s">
        <v>1649</v>
      </c>
      <c r="B175" s="3" t="s">
        <v>1648</v>
      </c>
      <c r="C175" s="3" t="s">
        <v>3</v>
      </c>
      <c r="D175" s="7">
        <v>0.87</v>
      </c>
      <c r="E175" s="5">
        <v>74</v>
      </c>
      <c r="F175" s="5">
        <v>47</v>
      </c>
      <c r="G175" s="5">
        <v>95</v>
      </c>
      <c r="H175" s="5">
        <v>70</v>
      </c>
      <c r="I175" s="6" t="str">
        <f t="shared" si="6"/>
        <v/>
      </c>
      <c r="J175">
        <f t="shared" si="7"/>
        <v>82.05</v>
      </c>
      <c r="K175" s="4" t="str">
        <f t="shared" si="8"/>
        <v>B</v>
      </c>
      <c r="L175">
        <f>IF(Helper!$E$3="All",1,IF(C175=Helper!$E$3,1,0))</f>
        <v>1</v>
      </c>
    </row>
    <row r="176" spans="1:12" x14ac:dyDescent="0.3">
      <c r="A176" s="3" t="s">
        <v>1647</v>
      </c>
      <c r="B176" s="3" t="s">
        <v>1646</v>
      </c>
      <c r="C176" s="3" t="s">
        <v>3</v>
      </c>
      <c r="D176" s="7">
        <v>0.69000000000000006</v>
      </c>
      <c r="E176" s="5">
        <v>65</v>
      </c>
      <c r="F176" s="5">
        <v>40</v>
      </c>
      <c r="G176" s="5">
        <v>63</v>
      </c>
      <c r="H176" s="5">
        <v>81</v>
      </c>
      <c r="I176" s="6">
        <f t="shared" si="6"/>
        <v>18</v>
      </c>
      <c r="J176">
        <f t="shared" si="7"/>
        <v>62.850000000000009</v>
      </c>
      <c r="K176" s="4" t="str">
        <f t="shared" si="8"/>
        <v>D</v>
      </c>
      <c r="L176">
        <f>IF(Helper!$E$3="All",1,IF(C176=Helper!$E$3,1,0))</f>
        <v>1</v>
      </c>
    </row>
    <row r="177" spans="1:12" x14ac:dyDescent="0.3">
      <c r="A177" s="3" t="s">
        <v>1645</v>
      </c>
      <c r="B177" s="3" t="s">
        <v>1644</v>
      </c>
      <c r="C177" s="3" t="s">
        <v>17</v>
      </c>
      <c r="D177" s="7">
        <v>0.98</v>
      </c>
      <c r="E177" s="5">
        <v>47</v>
      </c>
      <c r="F177" s="5">
        <v>83</v>
      </c>
      <c r="G177" s="5">
        <v>98</v>
      </c>
      <c r="H177" s="5">
        <v>49</v>
      </c>
      <c r="I177" s="6">
        <f t="shared" si="6"/>
        <v>-49</v>
      </c>
      <c r="J177">
        <f t="shared" si="7"/>
        <v>75.300000000000011</v>
      </c>
      <c r="K177" s="4" t="str">
        <f t="shared" si="8"/>
        <v>C</v>
      </c>
      <c r="L177">
        <f>IF(Helper!$E$3="All",1,IF(C177=Helper!$E$3,1,0))</f>
        <v>1</v>
      </c>
    </row>
    <row r="178" spans="1:12" x14ac:dyDescent="0.3">
      <c r="A178" s="3" t="s">
        <v>1643</v>
      </c>
      <c r="B178" s="3" t="s">
        <v>1642</v>
      </c>
      <c r="C178" s="3" t="s">
        <v>0</v>
      </c>
      <c r="D178" s="7">
        <v>0.76</v>
      </c>
      <c r="E178" s="5">
        <v>75</v>
      </c>
      <c r="F178" s="5">
        <v>44</v>
      </c>
      <c r="G178" s="5">
        <v>42</v>
      </c>
      <c r="H178" s="5">
        <v>71</v>
      </c>
      <c r="I178" s="6">
        <f t="shared" si="6"/>
        <v>29</v>
      </c>
      <c r="J178">
        <f t="shared" si="7"/>
        <v>61.15</v>
      </c>
      <c r="K178" s="4" t="str">
        <f t="shared" si="8"/>
        <v>D</v>
      </c>
      <c r="L178">
        <f>IF(Helper!$E$3="All",1,IF(C178=Helper!$E$3,1,0))</f>
        <v>1</v>
      </c>
    </row>
    <row r="179" spans="1:12" x14ac:dyDescent="0.3">
      <c r="A179" s="3" t="s">
        <v>1641</v>
      </c>
      <c r="B179" s="3" t="s">
        <v>1640</v>
      </c>
      <c r="C179" s="3" t="s">
        <v>0</v>
      </c>
      <c r="D179" s="7">
        <v>0.98</v>
      </c>
      <c r="E179" s="5">
        <v>87</v>
      </c>
      <c r="F179" s="5">
        <v>42</v>
      </c>
      <c r="G179" s="5">
        <v>50</v>
      </c>
      <c r="H179" s="5">
        <v>98</v>
      </c>
      <c r="I179" s="6">
        <f t="shared" si="6"/>
        <v>48</v>
      </c>
      <c r="J179">
        <f t="shared" si="7"/>
        <v>75.650000000000006</v>
      </c>
      <c r="K179" s="4" t="str">
        <f t="shared" si="8"/>
        <v>C</v>
      </c>
      <c r="L179">
        <f>IF(Helper!$E$3="All",1,IF(C179=Helper!$E$3,1,0))</f>
        <v>1</v>
      </c>
    </row>
    <row r="180" spans="1:12" x14ac:dyDescent="0.3">
      <c r="A180" s="3" t="s">
        <v>1639</v>
      </c>
      <c r="B180" s="3" t="s">
        <v>1638</v>
      </c>
      <c r="C180" s="3" t="s">
        <v>8</v>
      </c>
      <c r="D180" s="7">
        <v>0.81</v>
      </c>
      <c r="E180" s="5">
        <v>69</v>
      </c>
      <c r="F180" s="5">
        <v>40</v>
      </c>
      <c r="G180" s="5">
        <v>84</v>
      </c>
      <c r="H180" s="5">
        <v>73</v>
      </c>
      <c r="I180" s="6" t="str">
        <f t="shared" si="6"/>
        <v/>
      </c>
      <c r="J180">
        <f t="shared" si="7"/>
        <v>78.25</v>
      </c>
      <c r="K180" s="4" t="str">
        <f t="shared" si="8"/>
        <v>C</v>
      </c>
      <c r="L180">
        <f>IF(Helper!$E$3="All",1,IF(C180=Helper!$E$3,1,0))</f>
        <v>1</v>
      </c>
    </row>
    <row r="181" spans="1:12" x14ac:dyDescent="0.3">
      <c r="A181" s="3" t="s">
        <v>1637</v>
      </c>
      <c r="B181" s="3" t="s">
        <v>1636</v>
      </c>
      <c r="C181" s="3" t="s">
        <v>0</v>
      </c>
      <c r="D181" s="7">
        <v>0.85</v>
      </c>
      <c r="E181" s="5">
        <v>62</v>
      </c>
      <c r="F181" s="5">
        <v>43</v>
      </c>
      <c r="G181" s="5">
        <v>43</v>
      </c>
      <c r="H181" s="5">
        <v>48</v>
      </c>
      <c r="I181" s="6" t="str">
        <f t="shared" si="6"/>
        <v/>
      </c>
      <c r="J181">
        <f t="shared" si="7"/>
        <v>51.650000000000006</v>
      </c>
      <c r="K181" s="4" t="str">
        <f t="shared" si="8"/>
        <v>F</v>
      </c>
      <c r="L181">
        <f>IF(Helper!$E$3="All",1,IF(C181=Helper!$E$3,1,0))</f>
        <v>1</v>
      </c>
    </row>
    <row r="182" spans="1:12" x14ac:dyDescent="0.3">
      <c r="A182" s="3" t="s">
        <v>1635</v>
      </c>
      <c r="B182" s="3" t="s">
        <v>1634</v>
      </c>
      <c r="C182" s="3" t="s">
        <v>8</v>
      </c>
      <c r="D182" s="7">
        <v>0.84</v>
      </c>
      <c r="E182" s="5">
        <v>81</v>
      </c>
      <c r="F182" s="5">
        <v>79</v>
      </c>
      <c r="G182" s="5">
        <v>65</v>
      </c>
      <c r="H182" s="5">
        <v>56</v>
      </c>
      <c r="I182" s="6" t="str">
        <f t="shared" si="6"/>
        <v/>
      </c>
      <c r="J182">
        <f t="shared" si="7"/>
        <v>66.400000000000006</v>
      </c>
      <c r="K182" s="4" t="str">
        <f t="shared" si="8"/>
        <v>D</v>
      </c>
      <c r="L182">
        <f>IF(Helper!$E$3="All",1,IF(C182=Helper!$E$3,1,0))</f>
        <v>1</v>
      </c>
    </row>
    <row r="183" spans="1:12" x14ac:dyDescent="0.3">
      <c r="A183" s="3" t="s">
        <v>1633</v>
      </c>
      <c r="B183" s="3" t="s">
        <v>1632</v>
      </c>
      <c r="C183" s="3" t="s">
        <v>0</v>
      </c>
      <c r="D183" s="7">
        <v>0.76</v>
      </c>
      <c r="E183" s="5">
        <v>83</v>
      </c>
      <c r="F183" s="5">
        <v>74</v>
      </c>
      <c r="G183" s="5">
        <v>66</v>
      </c>
      <c r="H183" s="5">
        <v>50</v>
      </c>
      <c r="I183" s="6" t="str">
        <f t="shared" si="6"/>
        <v/>
      </c>
      <c r="J183">
        <f t="shared" si="7"/>
        <v>64.25</v>
      </c>
      <c r="K183" s="4" t="str">
        <f t="shared" si="8"/>
        <v>D</v>
      </c>
      <c r="L183">
        <f>IF(Helper!$E$3="All",1,IF(C183=Helper!$E$3,1,0))</f>
        <v>1</v>
      </c>
    </row>
    <row r="184" spans="1:12" x14ac:dyDescent="0.3">
      <c r="A184" s="3" t="s">
        <v>1631</v>
      </c>
      <c r="B184" s="3" t="s">
        <v>1630</v>
      </c>
      <c r="C184" s="3" t="s">
        <v>17</v>
      </c>
      <c r="D184" s="7">
        <v>0.72</v>
      </c>
      <c r="E184" s="5">
        <v>53</v>
      </c>
      <c r="F184" s="5">
        <v>71</v>
      </c>
      <c r="G184" s="5">
        <v>85</v>
      </c>
      <c r="H184" s="5">
        <v>71</v>
      </c>
      <c r="I184" s="6" t="str">
        <f t="shared" si="6"/>
        <v/>
      </c>
      <c r="J184">
        <f t="shared" si="7"/>
        <v>78.599999999999994</v>
      </c>
      <c r="K184" s="4" t="str">
        <f t="shared" si="8"/>
        <v>C</v>
      </c>
      <c r="L184">
        <f>IF(Helper!$E$3="All",1,IF(C184=Helper!$E$3,1,0))</f>
        <v>1</v>
      </c>
    </row>
    <row r="185" spans="1:12" x14ac:dyDescent="0.3">
      <c r="A185" s="3" t="s">
        <v>1629</v>
      </c>
      <c r="B185" s="3" t="s">
        <v>1628</v>
      </c>
      <c r="C185" s="3" t="s">
        <v>0</v>
      </c>
      <c r="D185" s="7">
        <v>0.79</v>
      </c>
      <c r="E185" s="5">
        <v>53</v>
      </c>
      <c r="F185" s="5">
        <v>81</v>
      </c>
      <c r="G185" s="5">
        <v>93</v>
      </c>
      <c r="H185" s="5">
        <v>49</v>
      </c>
      <c r="I185" s="6">
        <f t="shared" si="6"/>
        <v>-44</v>
      </c>
      <c r="J185">
        <f t="shared" si="7"/>
        <v>73.5</v>
      </c>
      <c r="K185" s="4" t="str">
        <f t="shared" si="8"/>
        <v>C</v>
      </c>
      <c r="L185">
        <f>IF(Helper!$E$3="All",1,IF(C185=Helper!$E$3,1,0))</f>
        <v>1</v>
      </c>
    </row>
    <row r="186" spans="1:12" x14ac:dyDescent="0.3">
      <c r="A186" s="3" t="s">
        <v>1627</v>
      </c>
      <c r="B186" s="3" t="s">
        <v>1626</v>
      </c>
      <c r="C186" s="3" t="s">
        <v>8</v>
      </c>
      <c r="D186" s="7">
        <v>0.84</v>
      </c>
      <c r="E186" s="5">
        <v>41</v>
      </c>
      <c r="F186" s="5">
        <v>73</v>
      </c>
      <c r="G186" s="5">
        <v>82</v>
      </c>
      <c r="H186" s="5">
        <v>61</v>
      </c>
      <c r="I186" s="6" t="str">
        <f t="shared" si="6"/>
        <v/>
      </c>
      <c r="J186">
        <f t="shared" si="7"/>
        <v>72.900000000000006</v>
      </c>
      <c r="K186" s="4" t="str">
        <f t="shared" si="8"/>
        <v>C</v>
      </c>
      <c r="L186">
        <f>IF(Helper!$E$3="All",1,IF(C186=Helper!$E$3,1,0))</f>
        <v>1</v>
      </c>
    </row>
    <row r="187" spans="1:12" x14ac:dyDescent="0.3">
      <c r="A187" s="3" t="s">
        <v>1625</v>
      </c>
      <c r="B187" s="3" t="s">
        <v>1624</v>
      </c>
      <c r="C187" s="3" t="s">
        <v>8</v>
      </c>
      <c r="D187" s="7">
        <v>0.63</v>
      </c>
      <c r="E187" s="5">
        <v>94</v>
      </c>
      <c r="F187" s="5">
        <v>82</v>
      </c>
      <c r="G187" s="5">
        <v>66</v>
      </c>
      <c r="H187" s="5">
        <v>96</v>
      </c>
      <c r="I187" s="6">
        <f t="shared" si="6"/>
        <v>30</v>
      </c>
      <c r="J187">
        <f t="shared" si="7"/>
        <v>73.599999999999994</v>
      </c>
      <c r="K187" s="4" t="str">
        <f t="shared" si="8"/>
        <v>C</v>
      </c>
      <c r="L187">
        <f>IF(Helper!$E$3="All",1,IF(C187=Helper!$E$3,1,0))</f>
        <v>1</v>
      </c>
    </row>
    <row r="188" spans="1:12" x14ac:dyDescent="0.3">
      <c r="A188" s="3" t="s">
        <v>1623</v>
      </c>
      <c r="B188" s="3" t="s">
        <v>1622</v>
      </c>
      <c r="C188" s="3" t="s">
        <v>17</v>
      </c>
      <c r="D188" s="7">
        <v>0.69000000000000006</v>
      </c>
      <c r="E188" s="5">
        <v>76</v>
      </c>
      <c r="F188" s="5">
        <v>64</v>
      </c>
      <c r="G188" s="5">
        <v>81</v>
      </c>
      <c r="H188" s="5">
        <v>56</v>
      </c>
      <c r="I188" s="6" t="str">
        <f t="shared" si="6"/>
        <v/>
      </c>
      <c r="J188">
        <f t="shared" si="7"/>
        <v>61.800000000000011</v>
      </c>
      <c r="K188" s="4" t="str">
        <f t="shared" si="8"/>
        <v>D</v>
      </c>
      <c r="L188">
        <f>IF(Helper!$E$3="All",1,IF(C188=Helper!$E$3,1,0))</f>
        <v>1</v>
      </c>
    </row>
    <row r="189" spans="1:12" x14ac:dyDescent="0.3">
      <c r="A189" s="3" t="s">
        <v>1621</v>
      </c>
      <c r="B189" s="3" t="s">
        <v>1620</v>
      </c>
      <c r="C189" s="3" t="s">
        <v>0</v>
      </c>
      <c r="D189" s="7">
        <v>0.62</v>
      </c>
      <c r="E189" s="5">
        <v>44</v>
      </c>
      <c r="F189" s="5">
        <v>49</v>
      </c>
      <c r="G189" s="5">
        <v>90</v>
      </c>
      <c r="H189" s="5">
        <v>43</v>
      </c>
      <c r="I189" s="6">
        <f t="shared" si="6"/>
        <v>-47</v>
      </c>
      <c r="J189">
        <f t="shared" si="7"/>
        <v>57.849999999999994</v>
      </c>
      <c r="K189" s="4" t="str">
        <f t="shared" si="8"/>
        <v>F</v>
      </c>
      <c r="L189">
        <f>IF(Helper!$E$3="All",1,IF(C189=Helper!$E$3,1,0))</f>
        <v>1</v>
      </c>
    </row>
    <row r="190" spans="1:12" x14ac:dyDescent="0.3">
      <c r="A190" s="3" t="s">
        <v>1619</v>
      </c>
      <c r="B190" s="3" t="s">
        <v>1618</v>
      </c>
      <c r="C190" s="3" t="s">
        <v>0</v>
      </c>
      <c r="D190" s="7">
        <v>1</v>
      </c>
      <c r="E190" s="5">
        <v>77</v>
      </c>
      <c r="F190" s="5">
        <v>60</v>
      </c>
      <c r="G190" s="5">
        <v>89</v>
      </c>
      <c r="H190" s="5">
        <v>87</v>
      </c>
      <c r="I190" s="6" t="str">
        <f t="shared" si="6"/>
        <v/>
      </c>
      <c r="J190">
        <f t="shared" si="7"/>
        <v>87.25</v>
      </c>
      <c r="K190" s="4" t="str">
        <f t="shared" si="8"/>
        <v>B</v>
      </c>
      <c r="L190">
        <f>IF(Helper!$E$3="All",1,IF(C190=Helper!$E$3,1,0))</f>
        <v>1</v>
      </c>
    </row>
    <row r="191" spans="1:12" x14ac:dyDescent="0.3">
      <c r="A191" s="3" t="s">
        <v>1617</v>
      </c>
      <c r="B191" s="3" t="s">
        <v>1616</v>
      </c>
      <c r="C191" s="3" t="s">
        <v>17</v>
      </c>
      <c r="D191" s="7">
        <v>0.77</v>
      </c>
      <c r="E191" s="5">
        <v>84</v>
      </c>
      <c r="F191" s="5">
        <v>85</v>
      </c>
      <c r="G191" s="5">
        <v>45</v>
      </c>
      <c r="H191" s="5">
        <v>91</v>
      </c>
      <c r="I191" s="6">
        <f t="shared" si="6"/>
        <v>46</v>
      </c>
      <c r="J191">
        <f t="shared" si="7"/>
        <v>72.849999999999994</v>
      </c>
      <c r="K191" s="4" t="str">
        <f t="shared" si="8"/>
        <v>C</v>
      </c>
      <c r="L191">
        <f>IF(Helper!$E$3="All",1,IF(C191=Helper!$E$3,1,0))</f>
        <v>1</v>
      </c>
    </row>
    <row r="192" spans="1:12" x14ac:dyDescent="0.3">
      <c r="A192" s="3" t="s">
        <v>1615</v>
      </c>
      <c r="B192" s="3" t="s">
        <v>1614</v>
      </c>
      <c r="C192" s="3" t="s">
        <v>0</v>
      </c>
      <c r="D192" s="7">
        <v>0.95000000000000007</v>
      </c>
      <c r="E192" s="5">
        <v>80</v>
      </c>
      <c r="F192" s="5">
        <v>78</v>
      </c>
      <c r="G192" s="5">
        <v>98</v>
      </c>
      <c r="H192" s="5">
        <v>86</v>
      </c>
      <c r="I192" s="6" t="str">
        <f t="shared" si="6"/>
        <v/>
      </c>
      <c r="J192">
        <f t="shared" si="7"/>
        <v>91.5</v>
      </c>
      <c r="K192" s="4" t="str">
        <f t="shared" si="8"/>
        <v>A</v>
      </c>
      <c r="L192">
        <f>IF(Helper!$E$3="All",1,IF(C192=Helper!$E$3,1,0))</f>
        <v>1</v>
      </c>
    </row>
    <row r="193" spans="1:12" x14ac:dyDescent="0.3">
      <c r="A193" s="3" t="s">
        <v>1613</v>
      </c>
      <c r="B193" s="3" t="s">
        <v>1612</v>
      </c>
      <c r="C193" s="3" t="s">
        <v>0</v>
      </c>
      <c r="D193" s="7">
        <v>0.81</v>
      </c>
      <c r="E193" s="5">
        <v>93</v>
      </c>
      <c r="F193" s="5">
        <v>66</v>
      </c>
      <c r="G193" s="5">
        <v>100</v>
      </c>
      <c r="H193" s="5">
        <v>64</v>
      </c>
      <c r="I193" s="6">
        <f t="shared" si="6"/>
        <v>-36</v>
      </c>
      <c r="J193">
        <f t="shared" si="7"/>
        <v>83.550000000000011</v>
      </c>
      <c r="K193" s="4" t="str">
        <f t="shared" si="8"/>
        <v>B</v>
      </c>
      <c r="L193">
        <f>IF(Helper!$E$3="All",1,IF(C193=Helper!$E$3,1,0))</f>
        <v>1</v>
      </c>
    </row>
    <row r="194" spans="1:12" x14ac:dyDescent="0.3">
      <c r="A194" s="3" t="s">
        <v>1611</v>
      </c>
      <c r="B194" s="3" t="s">
        <v>1610</v>
      </c>
      <c r="C194" s="3" t="s">
        <v>8</v>
      </c>
      <c r="D194" s="7">
        <v>0.93</v>
      </c>
      <c r="E194" s="5">
        <v>99</v>
      </c>
      <c r="F194" s="5">
        <v>66</v>
      </c>
      <c r="G194" s="5">
        <v>54</v>
      </c>
      <c r="H194" s="5">
        <v>98</v>
      </c>
      <c r="I194" s="6">
        <f t="shared" ref="I194:I257" si="9">IF(H194&gt;G194*1.15,H194-G194,IF(H194&lt;G194*0.65,H194-G194,""))</f>
        <v>44</v>
      </c>
      <c r="J194">
        <f t="shared" ref="J194:J257" si="10">IF(ISBLANK(D194),"",IF(D194&gt;0.7,10,0)+(E194/100*5)+(F194/100*5)+(G194/100*40)+(H194/100*40))</f>
        <v>79.050000000000011</v>
      </c>
      <c r="K194" s="4" t="str">
        <f t="shared" ref="K194:K257" si="11">IF(J194&gt;=90,"A",IF(J194&gt;=80,"B",IF(J194&gt;=70,"C",IF(J194&gt;=60,"D","F"))))</f>
        <v>C</v>
      </c>
      <c r="L194">
        <f>IF(Helper!$E$3="All",1,IF(C194=Helper!$E$3,1,0))</f>
        <v>1</v>
      </c>
    </row>
    <row r="195" spans="1:12" x14ac:dyDescent="0.3">
      <c r="A195" s="3" t="s">
        <v>1609</v>
      </c>
      <c r="B195" s="3" t="s">
        <v>1608</v>
      </c>
      <c r="C195" s="3" t="s">
        <v>0</v>
      </c>
      <c r="D195" s="7">
        <v>0.67</v>
      </c>
      <c r="E195" s="5">
        <v>100</v>
      </c>
      <c r="F195" s="5">
        <v>41</v>
      </c>
      <c r="G195" s="5">
        <v>92</v>
      </c>
      <c r="H195" s="5">
        <v>60</v>
      </c>
      <c r="I195" s="6" t="str">
        <f t="shared" si="9"/>
        <v/>
      </c>
      <c r="J195">
        <f t="shared" si="10"/>
        <v>67.849999999999994</v>
      </c>
      <c r="K195" s="4" t="str">
        <f t="shared" si="11"/>
        <v>D</v>
      </c>
      <c r="L195">
        <f>IF(Helper!$E$3="All",1,IF(C195=Helper!$E$3,1,0))</f>
        <v>1</v>
      </c>
    </row>
    <row r="196" spans="1:12" x14ac:dyDescent="0.3">
      <c r="A196" s="3" t="s">
        <v>1607</v>
      </c>
      <c r="B196" s="3" t="s">
        <v>1606</v>
      </c>
      <c r="C196" s="3" t="s">
        <v>0</v>
      </c>
      <c r="D196" s="7">
        <v>0.99</v>
      </c>
      <c r="E196" s="5">
        <v>86</v>
      </c>
      <c r="F196" s="5">
        <v>80</v>
      </c>
      <c r="G196" s="5">
        <v>69</v>
      </c>
      <c r="H196" s="5">
        <v>76</v>
      </c>
      <c r="I196" s="6" t="str">
        <f t="shared" si="9"/>
        <v/>
      </c>
      <c r="J196">
        <f t="shared" si="10"/>
        <v>76.3</v>
      </c>
      <c r="K196" s="4" t="str">
        <f t="shared" si="11"/>
        <v>C</v>
      </c>
      <c r="L196">
        <f>IF(Helper!$E$3="All",1,IF(C196=Helper!$E$3,1,0))</f>
        <v>1</v>
      </c>
    </row>
    <row r="197" spans="1:12" x14ac:dyDescent="0.3">
      <c r="A197" s="3" t="s">
        <v>1605</v>
      </c>
      <c r="B197" s="3" t="s">
        <v>1604</v>
      </c>
      <c r="C197" s="3" t="s">
        <v>17</v>
      </c>
      <c r="D197" s="7">
        <v>0.78</v>
      </c>
      <c r="E197" s="5">
        <v>53</v>
      </c>
      <c r="F197" s="5">
        <v>87</v>
      </c>
      <c r="G197" s="5">
        <v>81</v>
      </c>
      <c r="H197" s="5">
        <v>77</v>
      </c>
      <c r="I197" s="6" t="str">
        <f t="shared" si="9"/>
        <v/>
      </c>
      <c r="J197">
        <f t="shared" si="10"/>
        <v>80.2</v>
      </c>
      <c r="K197" s="4" t="str">
        <f t="shared" si="11"/>
        <v>B</v>
      </c>
      <c r="L197">
        <f>IF(Helper!$E$3="All",1,IF(C197=Helper!$E$3,1,0))</f>
        <v>1</v>
      </c>
    </row>
    <row r="198" spans="1:12" x14ac:dyDescent="0.3">
      <c r="A198" s="3" t="s">
        <v>1603</v>
      </c>
      <c r="B198" s="3" t="s">
        <v>1602</v>
      </c>
      <c r="C198" s="3" t="s">
        <v>17</v>
      </c>
      <c r="D198" s="7">
        <v>1</v>
      </c>
      <c r="E198" s="5">
        <v>95</v>
      </c>
      <c r="F198" s="5">
        <v>52</v>
      </c>
      <c r="G198" s="5">
        <v>76</v>
      </c>
      <c r="H198" s="5">
        <v>88</v>
      </c>
      <c r="I198" s="6">
        <f t="shared" si="9"/>
        <v>12</v>
      </c>
      <c r="J198">
        <f t="shared" si="10"/>
        <v>82.95</v>
      </c>
      <c r="K198" s="4" t="str">
        <f t="shared" si="11"/>
        <v>B</v>
      </c>
      <c r="L198">
        <f>IF(Helper!$E$3="All",1,IF(C198=Helper!$E$3,1,0))</f>
        <v>1</v>
      </c>
    </row>
    <row r="199" spans="1:12" x14ac:dyDescent="0.3">
      <c r="A199" s="3" t="s">
        <v>1601</v>
      </c>
      <c r="B199" s="3" t="s">
        <v>1600</v>
      </c>
      <c r="C199" s="3" t="s">
        <v>3</v>
      </c>
      <c r="D199" s="7">
        <v>0.96</v>
      </c>
      <c r="E199" s="5">
        <v>78</v>
      </c>
      <c r="F199" s="5">
        <v>48</v>
      </c>
      <c r="G199" s="5">
        <v>97</v>
      </c>
      <c r="H199" s="5">
        <v>40</v>
      </c>
      <c r="I199" s="6">
        <f t="shared" si="9"/>
        <v>-57</v>
      </c>
      <c r="J199">
        <f t="shared" si="10"/>
        <v>71.099999999999994</v>
      </c>
      <c r="K199" s="4" t="str">
        <f t="shared" si="11"/>
        <v>C</v>
      </c>
      <c r="L199">
        <f>IF(Helper!$E$3="All",1,IF(C199=Helper!$E$3,1,0))</f>
        <v>1</v>
      </c>
    </row>
    <row r="200" spans="1:12" x14ac:dyDescent="0.3">
      <c r="A200" s="3" t="s">
        <v>1599</v>
      </c>
      <c r="B200" s="3" t="s">
        <v>1598</v>
      </c>
      <c r="C200" s="3" t="s">
        <v>8</v>
      </c>
      <c r="D200" s="7">
        <v>0.65</v>
      </c>
      <c r="E200" s="5">
        <v>64</v>
      </c>
      <c r="F200" s="5">
        <v>91</v>
      </c>
      <c r="G200" s="5">
        <v>100</v>
      </c>
      <c r="H200" s="5">
        <v>64</v>
      </c>
      <c r="I200" s="6">
        <f t="shared" si="9"/>
        <v>-36</v>
      </c>
      <c r="J200">
        <f t="shared" si="10"/>
        <v>73.349999999999994</v>
      </c>
      <c r="K200" s="4" t="str">
        <f t="shared" si="11"/>
        <v>C</v>
      </c>
      <c r="L200">
        <f>IF(Helper!$E$3="All",1,IF(C200=Helper!$E$3,1,0))</f>
        <v>1</v>
      </c>
    </row>
    <row r="201" spans="1:12" x14ac:dyDescent="0.3">
      <c r="A201" s="3" t="s">
        <v>1597</v>
      </c>
      <c r="B201" s="3" t="s">
        <v>1596</v>
      </c>
      <c r="C201" s="3" t="s">
        <v>0</v>
      </c>
      <c r="D201" s="7">
        <v>0.85</v>
      </c>
      <c r="E201" s="5">
        <v>59</v>
      </c>
      <c r="F201" s="5">
        <v>75</v>
      </c>
      <c r="G201" s="5">
        <v>76</v>
      </c>
      <c r="H201" s="5">
        <v>90</v>
      </c>
      <c r="I201" s="6">
        <f t="shared" si="9"/>
        <v>14</v>
      </c>
      <c r="J201">
        <f t="shared" si="10"/>
        <v>83.1</v>
      </c>
      <c r="K201" s="4" t="str">
        <f t="shared" si="11"/>
        <v>B</v>
      </c>
      <c r="L201">
        <f>IF(Helper!$E$3="All",1,IF(C201=Helper!$E$3,1,0))</f>
        <v>1</v>
      </c>
    </row>
    <row r="202" spans="1:12" x14ac:dyDescent="0.3">
      <c r="A202" s="3" t="s">
        <v>1595</v>
      </c>
      <c r="B202" s="3" t="s">
        <v>1594</v>
      </c>
      <c r="C202" s="3" t="s">
        <v>0</v>
      </c>
      <c r="D202" s="7">
        <v>0.93</v>
      </c>
      <c r="E202" s="5">
        <v>41</v>
      </c>
      <c r="F202" s="5">
        <v>61</v>
      </c>
      <c r="G202" s="5">
        <v>81</v>
      </c>
      <c r="H202" s="5">
        <v>75</v>
      </c>
      <c r="I202" s="6" t="str">
        <f t="shared" si="9"/>
        <v/>
      </c>
      <c r="J202">
        <f t="shared" si="10"/>
        <v>77.5</v>
      </c>
      <c r="K202" s="4" t="str">
        <f t="shared" si="11"/>
        <v>C</v>
      </c>
      <c r="L202">
        <f>IF(Helper!$E$3="All",1,IF(C202=Helper!$E$3,1,0))</f>
        <v>1</v>
      </c>
    </row>
    <row r="203" spans="1:12" x14ac:dyDescent="0.3">
      <c r="A203" s="3" t="s">
        <v>1593</v>
      </c>
      <c r="B203" s="3" t="s">
        <v>1592</v>
      </c>
      <c r="C203" s="3" t="s">
        <v>3</v>
      </c>
      <c r="D203" s="7">
        <v>0.65</v>
      </c>
      <c r="E203" s="5">
        <v>78</v>
      </c>
      <c r="F203" s="5">
        <v>81</v>
      </c>
      <c r="G203" s="5">
        <v>99</v>
      </c>
      <c r="H203" s="5">
        <v>56</v>
      </c>
      <c r="I203" s="6">
        <f t="shared" si="9"/>
        <v>-43</v>
      </c>
      <c r="J203">
        <f t="shared" si="10"/>
        <v>69.95</v>
      </c>
      <c r="K203" s="4" t="str">
        <f t="shared" si="11"/>
        <v>D</v>
      </c>
      <c r="L203">
        <f>IF(Helper!$E$3="All",1,IF(C203=Helper!$E$3,1,0))</f>
        <v>1</v>
      </c>
    </row>
    <row r="204" spans="1:12" x14ac:dyDescent="0.3">
      <c r="A204" s="3" t="s">
        <v>1591</v>
      </c>
      <c r="B204" s="3" t="s">
        <v>1590</v>
      </c>
      <c r="C204" s="3" t="s">
        <v>0</v>
      </c>
      <c r="D204" s="7">
        <v>0.96</v>
      </c>
      <c r="E204" s="5">
        <v>45</v>
      </c>
      <c r="F204" s="5">
        <v>65</v>
      </c>
      <c r="G204" s="5">
        <v>76</v>
      </c>
      <c r="H204" s="5">
        <v>80</v>
      </c>
      <c r="I204" s="6" t="str">
        <f t="shared" si="9"/>
        <v/>
      </c>
      <c r="J204">
        <f t="shared" si="10"/>
        <v>77.900000000000006</v>
      </c>
      <c r="K204" s="4" t="str">
        <f t="shared" si="11"/>
        <v>C</v>
      </c>
      <c r="L204">
        <f>IF(Helper!$E$3="All",1,IF(C204=Helper!$E$3,1,0))</f>
        <v>1</v>
      </c>
    </row>
    <row r="205" spans="1:12" x14ac:dyDescent="0.3">
      <c r="A205" s="3" t="s">
        <v>1589</v>
      </c>
      <c r="B205" s="3" t="s">
        <v>1588</v>
      </c>
      <c r="C205" s="3" t="s">
        <v>8</v>
      </c>
      <c r="D205" s="7">
        <v>0.92</v>
      </c>
      <c r="E205" s="5">
        <v>56</v>
      </c>
      <c r="F205" s="5">
        <v>97</v>
      </c>
      <c r="G205" s="5">
        <v>74</v>
      </c>
      <c r="H205" s="5">
        <v>63</v>
      </c>
      <c r="I205" s="6" t="str">
        <f t="shared" si="9"/>
        <v/>
      </c>
      <c r="J205">
        <f t="shared" si="10"/>
        <v>72.45</v>
      </c>
      <c r="K205" s="4" t="str">
        <f t="shared" si="11"/>
        <v>C</v>
      </c>
      <c r="L205">
        <f>IF(Helper!$E$3="All",1,IF(C205=Helper!$E$3,1,0))</f>
        <v>1</v>
      </c>
    </row>
    <row r="206" spans="1:12" x14ac:dyDescent="0.3">
      <c r="A206" s="3" t="s">
        <v>1587</v>
      </c>
      <c r="B206" s="3" t="s">
        <v>1586</v>
      </c>
      <c r="C206" s="3" t="s">
        <v>3</v>
      </c>
      <c r="D206" s="7">
        <v>0.81</v>
      </c>
      <c r="E206" s="5">
        <v>98</v>
      </c>
      <c r="F206" s="5">
        <v>93</v>
      </c>
      <c r="G206" s="5">
        <v>62</v>
      </c>
      <c r="H206" s="5">
        <v>41</v>
      </c>
      <c r="I206" s="6" t="str">
        <f t="shared" si="9"/>
        <v/>
      </c>
      <c r="J206">
        <f t="shared" si="10"/>
        <v>60.75</v>
      </c>
      <c r="K206" s="4" t="str">
        <f t="shared" si="11"/>
        <v>D</v>
      </c>
      <c r="L206">
        <f>IF(Helper!$E$3="All",1,IF(C206=Helper!$E$3,1,0))</f>
        <v>1</v>
      </c>
    </row>
    <row r="207" spans="1:12" x14ac:dyDescent="0.3">
      <c r="A207" s="3" t="s">
        <v>1585</v>
      </c>
      <c r="B207" s="3" t="s">
        <v>1584</v>
      </c>
      <c r="C207" s="3" t="s">
        <v>8</v>
      </c>
      <c r="D207" s="7">
        <v>0.8</v>
      </c>
      <c r="E207" s="5">
        <v>64</v>
      </c>
      <c r="F207" s="5">
        <v>51</v>
      </c>
      <c r="G207" s="5">
        <v>45</v>
      </c>
      <c r="H207" s="5">
        <v>79</v>
      </c>
      <c r="I207" s="6">
        <f t="shared" si="9"/>
        <v>34</v>
      </c>
      <c r="J207">
        <f t="shared" si="10"/>
        <v>65.349999999999994</v>
      </c>
      <c r="K207" s="4" t="str">
        <f t="shared" si="11"/>
        <v>D</v>
      </c>
      <c r="L207">
        <f>IF(Helper!$E$3="All",1,IF(C207=Helper!$E$3,1,0))</f>
        <v>1</v>
      </c>
    </row>
    <row r="208" spans="1:12" x14ac:dyDescent="0.3">
      <c r="A208" s="3" t="s">
        <v>1583</v>
      </c>
      <c r="B208" s="3" t="s">
        <v>1582</v>
      </c>
      <c r="C208" s="3" t="s">
        <v>3</v>
      </c>
      <c r="D208" s="7">
        <v>0.65</v>
      </c>
      <c r="E208" s="5">
        <v>96</v>
      </c>
      <c r="F208" s="5">
        <v>56</v>
      </c>
      <c r="G208" s="5">
        <v>43</v>
      </c>
      <c r="H208" s="5">
        <v>54</v>
      </c>
      <c r="I208" s="6">
        <f t="shared" si="9"/>
        <v>11</v>
      </c>
      <c r="J208">
        <f t="shared" si="10"/>
        <v>46.4</v>
      </c>
      <c r="K208" s="4" t="str">
        <f t="shared" si="11"/>
        <v>F</v>
      </c>
      <c r="L208">
        <f>IF(Helper!$E$3="All",1,IF(C208=Helper!$E$3,1,0))</f>
        <v>1</v>
      </c>
    </row>
    <row r="209" spans="1:12" x14ac:dyDescent="0.3">
      <c r="A209" s="3" t="s">
        <v>1581</v>
      </c>
      <c r="B209" s="3" t="s">
        <v>1580</v>
      </c>
      <c r="C209" s="3" t="s">
        <v>3</v>
      </c>
      <c r="D209" s="7">
        <v>0.65</v>
      </c>
      <c r="E209" s="5">
        <v>67</v>
      </c>
      <c r="F209" s="5">
        <v>53</v>
      </c>
      <c r="G209" s="5">
        <v>57</v>
      </c>
      <c r="H209" s="5">
        <v>71</v>
      </c>
      <c r="I209" s="6">
        <f t="shared" si="9"/>
        <v>14</v>
      </c>
      <c r="J209">
        <f t="shared" si="10"/>
        <v>57.199999999999996</v>
      </c>
      <c r="K209" s="4" t="str">
        <f t="shared" si="11"/>
        <v>F</v>
      </c>
      <c r="L209">
        <f>IF(Helper!$E$3="All",1,IF(C209=Helper!$E$3,1,0))</f>
        <v>1</v>
      </c>
    </row>
    <row r="210" spans="1:12" x14ac:dyDescent="0.3">
      <c r="A210" s="3" t="s">
        <v>1579</v>
      </c>
      <c r="B210" s="3" t="s">
        <v>1578</v>
      </c>
      <c r="C210" s="3" t="s">
        <v>17</v>
      </c>
      <c r="D210" s="7">
        <v>0.63</v>
      </c>
      <c r="E210" s="5">
        <v>41</v>
      </c>
      <c r="F210" s="5">
        <v>53</v>
      </c>
      <c r="G210" s="5">
        <v>99</v>
      </c>
      <c r="H210" s="5">
        <v>78</v>
      </c>
      <c r="I210" s="6" t="str">
        <f t="shared" si="9"/>
        <v/>
      </c>
      <c r="J210">
        <f t="shared" si="10"/>
        <v>75.5</v>
      </c>
      <c r="K210" s="4" t="str">
        <f t="shared" si="11"/>
        <v>C</v>
      </c>
      <c r="L210">
        <f>IF(Helper!$E$3="All",1,IF(C210=Helper!$E$3,1,0))</f>
        <v>1</v>
      </c>
    </row>
    <row r="211" spans="1:12" x14ac:dyDescent="0.3">
      <c r="A211" s="3" t="s">
        <v>1577</v>
      </c>
      <c r="B211" s="3" t="s">
        <v>1576</v>
      </c>
      <c r="C211" s="3" t="s">
        <v>8</v>
      </c>
      <c r="D211" s="7">
        <v>0.89</v>
      </c>
      <c r="E211" s="5">
        <v>74</v>
      </c>
      <c r="F211" s="5">
        <v>96</v>
      </c>
      <c r="G211" s="5">
        <v>48</v>
      </c>
      <c r="H211" s="5">
        <v>98</v>
      </c>
      <c r="I211" s="6">
        <f t="shared" si="9"/>
        <v>50</v>
      </c>
      <c r="J211">
        <f t="shared" si="10"/>
        <v>76.900000000000006</v>
      </c>
      <c r="K211" s="4" t="str">
        <f t="shared" si="11"/>
        <v>C</v>
      </c>
      <c r="L211">
        <f>IF(Helper!$E$3="All",1,IF(C211=Helper!$E$3,1,0))</f>
        <v>1</v>
      </c>
    </row>
    <row r="212" spans="1:12" x14ac:dyDescent="0.3">
      <c r="A212" s="3" t="s">
        <v>1575</v>
      </c>
      <c r="B212" s="3" t="s">
        <v>1574</v>
      </c>
      <c r="C212" s="3" t="s">
        <v>0</v>
      </c>
      <c r="D212" s="7">
        <v>0.70000000000000007</v>
      </c>
      <c r="E212" s="5">
        <v>76</v>
      </c>
      <c r="F212" s="5">
        <v>73</v>
      </c>
      <c r="G212" s="5">
        <v>88</v>
      </c>
      <c r="H212" s="5">
        <v>45</v>
      </c>
      <c r="I212" s="6">
        <f t="shared" si="9"/>
        <v>-43</v>
      </c>
      <c r="J212">
        <f t="shared" si="10"/>
        <v>60.650000000000006</v>
      </c>
      <c r="K212" s="4" t="str">
        <f t="shared" si="11"/>
        <v>D</v>
      </c>
      <c r="L212">
        <f>IF(Helper!$E$3="All",1,IF(C212=Helper!$E$3,1,0))</f>
        <v>1</v>
      </c>
    </row>
    <row r="213" spans="1:12" x14ac:dyDescent="0.3">
      <c r="A213" s="3" t="s">
        <v>1573</v>
      </c>
      <c r="B213" s="3" t="s">
        <v>1572</v>
      </c>
      <c r="C213" s="3" t="s">
        <v>0</v>
      </c>
      <c r="D213" s="7">
        <v>0.89</v>
      </c>
      <c r="E213" s="5">
        <v>44</v>
      </c>
      <c r="F213" s="5">
        <v>92</v>
      </c>
      <c r="G213" s="5">
        <v>68</v>
      </c>
      <c r="H213" s="5">
        <v>40</v>
      </c>
      <c r="I213" s="6">
        <f t="shared" si="9"/>
        <v>-28</v>
      </c>
      <c r="J213">
        <f t="shared" si="10"/>
        <v>60</v>
      </c>
      <c r="K213" s="4" t="str">
        <f t="shared" si="11"/>
        <v>D</v>
      </c>
      <c r="L213">
        <f>IF(Helper!$E$3="All",1,IF(C213=Helper!$E$3,1,0))</f>
        <v>1</v>
      </c>
    </row>
    <row r="214" spans="1:12" x14ac:dyDescent="0.3">
      <c r="A214" s="3" t="s">
        <v>1571</v>
      </c>
      <c r="B214" s="3" t="s">
        <v>1570</v>
      </c>
      <c r="C214" s="3" t="s">
        <v>8</v>
      </c>
      <c r="D214" s="7">
        <v>0.9</v>
      </c>
      <c r="E214" s="5">
        <v>40</v>
      </c>
      <c r="F214" s="5">
        <v>96</v>
      </c>
      <c r="G214" s="5">
        <v>52</v>
      </c>
      <c r="H214" s="5">
        <v>86</v>
      </c>
      <c r="I214" s="6">
        <f t="shared" si="9"/>
        <v>34</v>
      </c>
      <c r="J214">
        <f t="shared" si="10"/>
        <v>72</v>
      </c>
      <c r="K214" s="4" t="str">
        <f t="shared" si="11"/>
        <v>C</v>
      </c>
      <c r="L214">
        <f>IF(Helper!$E$3="All",1,IF(C214=Helper!$E$3,1,0))</f>
        <v>1</v>
      </c>
    </row>
    <row r="215" spans="1:12" x14ac:dyDescent="0.3">
      <c r="A215" s="3" t="s">
        <v>1569</v>
      </c>
      <c r="B215" s="3" t="s">
        <v>1568</v>
      </c>
      <c r="C215" s="3" t="s">
        <v>0</v>
      </c>
      <c r="D215" s="7">
        <v>0.83000000000000007</v>
      </c>
      <c r="E215" s="5">
        <v>79</v>
      </c>
      <c r="F215" s="5">
        <v>59</v>
      </c>
      <c r="G215" s="5">
        <v>98</v>
      </c>
      <c r="H215" s="5">
        <v>62</v>
      </c>
      <c r="I215" s="6">
        <f t="shared" si="9"/>
        <v>-36</v>
      </c>
      <c r="J215">
        <f t="shared" si="10"/>
        <v>80.900000000000006</v>
      </c>
      <c r="K215" s="4" t="str">
        <f t="shared" si="11"/>
        <v>B</v>
      </c>
      <c r="L215">
        <f>IF(Helper!$E$3="All",1,IF(C215=Helper!$E$3,1,0))</f>
        <v>1</v>
      </c>
    </row>
    <row r="216" spans="1:12" x14ac:dyDescent="0.3">
      <c r="A216" s="3" t="s">
        <v>1567</v>
      </c>
      <c r="B216" s="3" t="s">
        <v>1566</v>
      </c>
      <c r="C216" s="3" t="s">
        <v>0</v>
      </c>
      <c r="D216" s="7">
        <v>0.68</v>
      </c>
      <c r="E216" s="5">
        <v>51</v>
      </c>
      <c r="F216" s="5">
        <v>50</v>
      </c>
      <c r="G216" s="5">
        <v>86</v>
      </c>
      <c r="H216" s="5">
        <v>97</v>
      </c>
      <c r="I216" s="6" t="str">
        <f t="shared" si="9"/>
        <v/>
      </c>
      <c r="J216">
        <f t="shared" si="10"/>
        <v>78.25</v>
      </c>
      <c r="K216" s="4" t="str">
        <f t="shared" si="11"/>
        <v>C</v>
      </c>
      <c r="L216">
        <f>IF(Helper!$E$3="All",1,IF(C216=Helper!$E$3,1,0))</f>
        <v>1</v>
      </c>
    </row>
    <row r="217" spans="1:12" x14ac:dyDescent="0.3">
      <c r="A217" s="3" t="s">
        <v>1565</v>
      </c>
      <c r="B217" s="3" t="s">
        <v>1564</v>
      </c>
      <c r="C217" s="3" t="s">
        <v>8</v>
      </c>
      <c r="D217" s="7">
        <v>0.62</v>
      </c>
      <c r="E217" s="5">
        <v>95</v>
      </c>
      <c r="F217" s="5">
        <v>55</v>
      </c>
      <c r="G217" s="5">
        <v>91</v>
      </c>
      <c r="H217" s="5">
        <v>78</v>
      </c>
      <c r="I217" s="6" t="str">
        <f t="shared" si="9"/>
        <v/>
      </c>
      <c r="J217">
        <f t="shared" si="10"/>
        <v>75.099999999999994</v>
      </c>
      <c r="K217" s="4" t="str">
        <f t="shared" si="11"/>
        <v>C</v>
      </c>
      <c r="L217">
        <f>IF(Helper!$E$3="All",1,IF(C217=Helper!$E$3,1,0))</f>
        <v>1</v>
      </c>
    </row>
    <row r="218" spans="1:12" x14ac:dyDescent="0.3">
      <c r="A218" s="3" t="s">
        <v>1563</v>
      </c>
      <c r="B218" s="3" t="s">
        <v>1562</v>
      </c>
      <c r="C218" s="3" t="s">
        <v>3</v>
      </c>
      <c r="D218" s="7">
        <v>0.9</v>
      </c>
      <c r="E218" s="5">
        <v>75</v>
      </c>
      <c r="F218" s="5">
        <v>90</v>
      </c>
      <c r="G218" s="5">
        <v>56</v>
      </c>
      <c r="H218" s="5">
        <v>100</v>
      </c>
      <c r="I218" s="6">
        <f t="shared" si="9"/>
        <v>44</v>
      </c>
      <c r="J218">
        <f t="shared" si="10"/>
        <v>80.650000000000006</v>
      </c>
      <c r="K218" s="4" t="str">
        <f t="shared" si="11"/>
        <v>B</v>
      </c>
      <c r="L218">
        <f>IF(Helper!$E$3="All",1,IF(C218=Helper!$E$3,1,0))</f>
        <v>1</v>
      </c>
    </row>
    <row r="219" spans="1:12" x14ac:dyDescent="0.3">
      <c r="A219" s="3" t="s">
        <v>1561</v>
      </c>
      <c r="B219" s="3" t="s">
        <v>1560</v>
      </c>
      <c r="C219" s="3" t="s">
        <v>8</v>
      </c>
      <c r="D219" s="7">
        <v>0.99</v>
      </c>
      <c r="E219" s="5">
        <v>84</v>
      </c>
      <c r="F219" s="5">
        <v>70</v>
      </c>
      <c r="G219" s="5">
        <v>84</v>
      </c>
      <c r="H219" s="5">
        <v>96</v>
      </c>
      <c r="I219" s="6" t="str">
        <f t="shared" si="9"/>
        <v/>
      </c>
      <c r="J219">
        <f t="shared" si="10"/>
        <v>89.699999999999989</v>
      </c>
      <c r="K219" s="4" t="str">
        <f t="shared" si="11"/>
        <v>B</v>
      </c>
      <c r="L219">
        <f>IF(Helper!$E$3="All",1,IF(C219=Helper!$E$3,1,0))</f>
        <v>1</v>
      </c>
    </row>
    <row r="220" spans="1:12" x14ac:dyDescent="0.3">
      <c r="A220" s="3" t="s">
        <v>1559</v>
      </c>
      <c r="B220" s="3" t="s">
        <v>1558</v>
      </c>
      <c r="C220" s="3" t="s">
        <v>3</v>
      </c>
      <c r="D220" s="7">
        <v>0.96</v>
      </c>
      <c r="E220" s="5">
        <v>62</v>
      </c>
      <c r="F220" s="5">
        <v>94</v>
      </c>
      <c r="G220" s="5">
        <v>71</v>
      </c>
      <c r="H220" s="5">
        <v>56</v>
      </c>
      <c r="I220" s="6" t="str">
        <f t="shared" si="9"/>
        <v/>
      </c>
      <c r="J220">
        <f t="shared" si="10"/>
        <v>68.599999999999994</v>
      </c>
      <c r="K220" s="4" t="str">
        <f t="shared" si="11"/>
        <v>D</v>
      </c>
      <c r="L220">
        <f>IF(Helper!$E$3="All",1,IF(C220=Helper!$E$3,1,0))</f>
        <v>1</v>
      </c>
    </row>
    <row r="221" spans="1:12" x14ac:dyDescent="0.3">
      <c r="A221" s="3" t="s">
        <v>1557</v>
      </c>
      <c r="B221" s="3" t="s">
        <v>1556</v>
      </c>
      <c r="C221" s="3" t="s">
        <v>0</v>
      </c>
      <c r="D221" s="7">
        <v>0.95000000000000007</v>
      </c>
      <c r="E221" s="5">
        <v>86</v>
      </c>
      <c r="F221" s="5">
        <v>45</v>
      </c>
      <c r="G221" s="5">
        <v>87</v>
      </c>
      <c r="H221" s="5">
        <v>73</v>
      </c>
      <c r="I221" s="6" t="str">
        <f t="shared" si="9"/>
        <v/>
      </c>
      <c r="J221">
        <f t="shared" si="10"/>
        <v>80.55</v>
      </c>
      <c r="K221" s="4" t="str">
        <f t="shared" si="11"/>
        <v>B</v>
      </c>
      <c r="L221">
        <f>IF(Helper!$E$3="All",1,IF(C221=Helper!$E$3,1,0))</f>
        <v>1</v>
      </c>
    </row>
    <row r="222" spans="1:12" x14ac:dyDescent="0.3">
      <c r="A222" s="3" t="s">
        <v>1555</v>
      </c>
      <c r="B222" s="3" t="s">
        <v>1554</v>
      </c>
      <c r="C222" s="3" t="s">
        <v>0</v>
      </c>
      <c r="D222" s="7">
        <v>0.83000000000000007</v>
      </c>
      <c r="E222" s="5">
        <v>70</v>
      </c>
      <c r="F222" s="5">
        <v>95</v>
      </c>
      <c r="G222" s="5">
        <v>61</v>
      </c>
      <c r="H222" s="5">
        <v>98</v>
      </c>
      <c r="I222" s="6">
        <f t="shared" si="9"/>
        <v>37</v>
      </c>
      <c r="J222">
        <f t="shared" si="10"/>
        <v>81.849999999999994</v>
      </c>
      <c r="K222" s="4" t="str">
        <f t="shared" si="11"/>
        <v>B</v>
      </c>
      <c r="L222">
        <f>IF(Helper!$E$3="All",1,IF(C222=Helper!$E$3,1,0))</f>
        <v>1</v>
      </c>
    </row>
    <row r="223" spans="1:12" x14ac:dyDescent="0.3">
      <c r="A223" s="3" t="s">
        <v>1553</v>
      </c>
      <c r="B223" s="3" t="s">
        <v>1552</v>
      </c>
      <c r="C223" s="3" t="s">
        <v>0</v>
      </c>
      <c r="D223" s="7">
        <v>0.9</v>
      </c>
      <c r="E223" s="5">
        <v>50</v>
      </c>
      <c r="F223" s="5">
        <v>58</v>
      </c>
      <c r="G223" s="5">
        <v>43</v>
      </c>
      <c r="H223" s="5">
        <v>80</v>
      </c>
      <c r="I223" s="6">
        <f t="shared" si="9"/>
        <v>37</v>
      </c>
      <c r="J223">
        <f t="shared" si="10"/>
        <v>64.599999999999994</v>
      </c>
      <c r="K223" s="4" t="str">
        <f t="shared" si="11"/>
        <v>D</v>
      </c>
      <c r="L223">
        <f>IF(Helper!$E$3="All",1,IF(C223=Helper!$E$3,1,0))</f>
        <v>1</v>
      </c>
    </row>
    <row r="224" spans="1:12" x14ac:dyDescent="0.3">
      <c r="A224" s="3" t="s">
        <v>1551</v>
      </c>
      <c r="B224" s="3" t="s">
        <v>1550</v>
      </c>
      <c r="C224" s="3" t="s">
        <v>17</v>
      </c>
      <c r="D224" s="7">
        <v>0.65</v>
      </c>
      <c r="E224" s="5">
        <v>49</v>
      </c>
      <c r="F224" s="5">
        <v>76</v>
      </c>
      <c r="G224" s="5">
        <v>44</v>
      </c>
      <c r="H224" s="5">
        <v>68</v>
      </c>
      <c r="I224" s="6">
        <f t="shared" si="9"/>
        <v>24</v>
      </c>
      <c r="J224">
        <f t="shared" si="10"/>
        <v>51.050000000000004</v>
      </c>
      <c r="K224" s="4" t="str">
        <f t="shared" si="11"/>
        <v>F</v>
      </c>
      <c r="L224">
        <f>IF(Helper!$E$3="All",1,IF(C224=Helper!$E$3,1,0))</f>
        <v>1</v>
      </c>
    </row>
    <row r="225" spans="1:12" x14ac:dyDescent="0.3">
      <c r="A225" s="3" t="s">
        <v>1549</v>
      </c>
      <c r="B225" s="3" t="s">
        <v>1548</v>
      </c>
      <c r="C225" s="3" t="s">
        <v>3</v>
      </c>
      <c r="D225" s="7">
        <v>0.61</v>
      </c>
      <c r="E225" s="5">
        <v>42</v>
      </c>
      <c r="F225" s="5">
        <v>97</v>
      </c>
      <c r="G225" s="5">
        <v>76</v>
      </c>
      <c r="H225" s="5">
        <v>48</v>
      </c>
      <c r="I225" s="6">
        <f t="shared" si="9"/>
        <v>-28</v>
      </c>
      <c r="J225">
        <f t="shared" si="10"/>
        <v>56.55</v>
      </c>
      <c r="K225" s="4" t="str">
        <f t="shared" si="11"/>
        <v>F</v>
      </c>
      <c r="L225">
        <f>IF(Helper!$E$3="All",1,IF(C225=Helper!$E$3,1,0))</f>
        <v>1</v>
      </c>
    </row>
    <row r="226" spans="1:12" x14ac:dyDescent="0.3">
      <c r="A226" s="3" t="s">
        <v>1547</v>
      </c>
      <c r="B226" s="3" t="s">
        <v>1546</v>
      </c>
      <c r="C226" s="3" t="s">
        <v>17</v>
      </c>
      <c r="D226" s="7">
        <v>0.79</v>
      </c>
      <c r="E226" s="5">
        <v>93</v>
      </c>
      <c r="F226" s="5">
        <v>43</v>
      </c>
      <c r="G226" s="5">
        <v>80</v>
      </c>
      <c r="H226" s="5">
        <v>52</v>
      </c>
      <c r="I226" s="6" t="str">
        <f t="shared" si="9"/>
        <v/>
      </c>
      <c r="J226">
        <f t="shared" si="10"/>
        <v>69.599999999999994</v>
      </c>
      <c r="K226" s="4" t="str">
        <f t="shared" si="11"/>
        <v>D</v>
      </c>
      <c r="L226">
        <f>IF(Helper!$E$3="All",1,IF(C226=Helper!$E$3,1,0))</f>
        <v>1</v>
      </c>
    </row>
    <row r="227" spans="1:12" x14ac:dyDescent="0.3">
      <c r="A227" s="3" t="s">
        <v>1545</v>
      </c>
      <c r="B227" s="3" t="s">
        <v>1544</v>
      </c>
      <c r="C227" s="3" t="s">
        <v>17</v>
      </c>
      <c r="D227" s="7">
        <v>0.87</v>
      </c>
      <c r="E227" s="5">
        <v>53</v>
      </c>
      <c r="F227" s="5">
        <v>86</v>
      </c>
      <c r="G227" s="5">
        <v>88</v>
      </c>
      <c r="H227" s="5">
        <v>45</v>
      </c>
      <c r="I227" s="6">
        <f t="shared" si="9"/>
        <v>-43</v>
      </c>
      <c r="J227">
        <f t="shared" si="10"/>
        <v>70.150000000000006</v>
      </c>
      <c r="K227" s="4" t="str">
        <f t="shared" si="11"/>
        <v>C</v>
      </c>
      <c r="L227">
        <f>IF(Helper!$E$3="All",1,IF(C227=Helper!$E$3,1,0))</f>
        <v>1</v>
      </c>
    </row>
    <row r="228" spans="1:12" x14ac:dyDescent="0.3">
      <c r="A228" s="3" t="s">
        <v>1543</v>
      </c>
      <c r="B228" s="3" t="s">
        <v>1542</v>
      </c>
      <c r="C228" s="3" t="s">
        <v>8</v>
      </c>
      <c r="D228" s="7">
        <v>0.70000000000000007</v>
      </c>
      <c r="E228" s="5">
        <v>55</v>
      </c>
      <c r="F228" s="5">
        <v>100</v>
      </c>
      <c r="G228" s="5">
        <v>52</v>
      </c>
      <c r="H228" s="5">
        <v>45</v>
      </c>
      <c r="I228" s="6" t="str">
        <f t="shared" si="9"/>
        <v/>
      </c>
      <c r="J228">
        <f t="shared" si="10"/>
        <v>46.55</v>
      </c>
      <c r="K228" s="4" t="str">
        <f t="shared" si="11"/>
        <v>F</v>
      </c>
      <c r="L228">
        <f>IF(Helper!$E$3="All",1,IF(C228=Helper!$E$3,1,0))</f>
        <v>1</v>
      </c>
    </row>
    <row r="229" spans="1:12" x14ac:dyDescent="0.3">
      <c r="A229" s="3" t="s">
        <v>1541</v>
      </c>
      <c r="B229" s="3" t="s">
        <v>1540</v>
      </c>
      <c r="C229" s="3" t="s">
        <v>17</v>
      </c>
      <c r="D229" s="7">
        <v>0.63</v>
      </c>
      <c r="E229" s="5">
        <v>49</v>
      </c>
      <c r="F229" s="5">
        <v>43</v>
      </c>
      <c r="G229" s="5">
        <v>73</v>
      </c>
      <c r="H229" s="5">
        <v>59</v>
      </c>
      <c r="I229" s="6" t="str">
        <f t="shared" si="9"/>
        <v/>
      </c>
      <c r="J229">
        <f t="shared" si="10"/>
        <v>57.399999999999991</v>
      </c>
      <c r="K229" s="4" t="str">
        <f t="shared" si="11"/>
        <v>F</v>
      </c>
      <c r="L229">
        <f>IF(Helper!$E$3="All",1,IF(C229=Helper!$E$3,1,0))</f>
        <v>1</v>
      </c>
    </row>
    <row r="230" spans="1:12" x14ac:dyDescent="0.3">
      <c r="A230" s="3" t="s">
        <v>1539</v>
      </c>
      <c r="B230" s="3" t="s">
        <v>1538</v>
      </c>
      <c r="C230" s="3" t="s">
        <v>8</v>
      </c>
      <c r="D230" s="7">
        <v>0.74</v>
      </c>
      <c r="E230" s="5">
        <v>68</v>
      </c>
      <c r="F230" s="5">
        <v>59</v>
      </c>
      <c r="G230" s="5">
        <v>84</v>
      </c>
      <c r="H230" s="5">
        <v>91</v>
      </c>
      <c r="I230" s="6" t="str">
        <f t="shared" si="9"/>
        <v/>
      </c>
      <c r="J230">
        <f t="shared" si="10"/>
        <v>86.35</v>
      </c>
      <c r="K230" s="4" t="str">
        <f t="shared" si="11"/>
        <v>B</v>
      </c>
      <c r="L230">
        <f>IF(Helper!$E$3="All",1,IF(C230=Helper!$E$3,1,0))</f>
        <v>1</v>
      </c>
    </row>
    <row r="231" spans="1:12" x14ac:dyDescent="0.3">
      <c r="A231" s="3" t="s">
        <v>1537</v>
      </c>
      <c r="B231" s="3" t="s">
        <v>1536</v>
      </c>
      <c r="C231" s="3" t="s">
        <v>8</v>
      </c>
      <c r="D231" s="7">
        <v>0.65</v>
      </c>
      <c r="E231" s="5">
        <v>49</v>
      </c>
      <c r="F231" s="5">
        <v>49</v>
      </c>
      <c r="G231" s="5">
        <v>61</v>
      </c>
      <c r="H231" s="5">
        <v>92</v>
      </c>
      <c r="I231" s="6">
        <f t="shared" si="9"/>
        <v>31</v>
      </c>
      <c r="J231">
        <f t="shared" si="10"/>
        <v>66.099999999999994</v>
      </c>
      <c r="K231" s="4" t="str">
        <f t="shared" si="11"/>
        <v>D</v>
      </c>
      <c r="L231">
        <f>IF(Helper!$E$3="All",1,IF(C231=Helper!$E$3,1,0))</f>
        <v>1</v>
      </c>
    </row>
    <row r="232" spans="1:12" x14ac:dyDescent="0.3">
      <c r="A232" s="3" t="s">
        <v>1535</v>
      </c>
      <c r="B232" s="3" t="s">
        <v>1534</v>
      </c>
      <c r="C232" s="3" t="s">
        <v>17</v>
      </c>
      <c r="D232" s="7">
        <v>0.89</v>
      </c>
      <c r="E232" s="5">
        <v>51</v>
      </c>
      <c r="F232" s="5">
        <v>63</v>
      </c>
      <c r="G232" s="5">
        <v>92</v>
      </c>
      <c r="H232" s="5">
        <v>42</v>
      </c>
      <c r="I232" s="6">
        <f t="shared" si="9"/>
        <v>-50</v>
      </c>
      <c r="J232">
        <f t="shared" si="10"/>
        <v>69.300000000000011</v>
      </c>
      <c r="K232" s="4" t="str">
        <f t="shared" si="11"/>
        <v>D</v>
      </c>
      <c r="L232">
        <f>IF(Helper!$E$3="All",1,IF(C232=Helper!$E$3,1,0))</f>
        <v>1</v>
      </c>
    </row>
    <row r="233" spans="1:12" x14ac:dyDescent="0.3">
      <c r="A233" s="3" t="s">
        <v>1533</v>
      </c>
      <c r="B233" s="3" t="s">
        <v>1532</v>
      </c>
      <c r="C233" s="3" t="s">
        <v>3</v>
      </c>
      <c r="D233" s="7">
        <v>0.97</v>
      </c>
      <c r="E233" s="5">
        <v>69</v>
      </c>
      <c r="F233" s="5">
        <v>93</v>
      </c>
      <c r="G233" s="5">
        <v>98</v>
      </c>
      <c r="H233" s="5">
        <v>56</v>
      </c>
      <c r="I233" s="6">
        <f t="shared" si="9"/>
        <v>-42</v>
      </c>
      <c r="J233">
        <f t="shared" si="10"/>
        <v>79.7</v>
      </c>
      <c r="K233" s="4" t="str">
        <f t="shared" si="11"/>
        <v>C</v>
      </c>
      <c r="L233">
        <f>IF(Helper!$E$3="All",1,IF(C233=Helper!$E$3,1,0))</f>
        <v>1</v>
      </c>
    </row>
    <row r="234" spans="1:12" x14ac:dyDescent="0.3">
      <c r="A234" s="3" t="s">
        <v>1531</v>
      </c>
      <c r="B234" s="3" t="s">
        <v>1530</v>
      </c>
      <c r="C234" s="3" t="s">
        <v>3</v>
      </c>
      <c r="D234" s="7">
        <v>0.61</v>
      </c>
      <c r="E234" s="5">
        <v>80</v>
      </c>
      <c r="F234" s="5">
        <v>74</v>
      </c>
      <c r="G234" s="5">
        <v>62</v>
      </c>
      <c r="H234" s="5">
        <v>88</v>
      </c>
      <c r="I234" s="6">
        <f t="shared" si="9"/>
        <v>26</v>
      </c>
      <c r="J234">
        <f t="shared" si="10"/>
        <v>67.7</v>
      </c>
      <c r="K234" s="4" t="str">
        <f t="shared" si="11"/>
        <v>D</v>
      </c>
      <c r="L234">
        <f>IF(Helper!$E$3="All",1,IF(C234=Helper!$E$3,1,0))</f>
        <v>1</v>
      </c>
    </row>
    <row r="235" spans="1:12" x14ac:dyDescent="0.3">
      <c r="A235" s="3" t="s">
        <v>1529</v>
      </c>
      <c r="B235" s="3" t="s">
        <v>1528</v>
      </c>
      <c r="C235" s="3" t="s">
        <v>3</v>
      </c>
      <c r="D235" s="7">
        <v>0.74</v>
      </c>
      <c r="E235" s="5">
        <v>40</v>
      </c>
      <c r="F235" s="5">
        <v>65</v>
      </c>
      <c r="G235" s="5">
        <v>90</v>
      </c>
      <c r="H235" s="5">
        <v>51</v>
      </c>
      <c r="I235" s="6">
        <f t="shared" si="9"/>
        <v>-39</v>
      </c>
      <c r="J235">
        <f t="shared" si="10"/>
        <v>71.650000000000006</v>
      </c>
      <c r="K235" s="4" t="str">
        <f t="shared" si="11"/>
        <v>C</v>
      </c>
      <c r="L235">
        <f>IF(Helper!$E$3="All",1,IF(C235=Helper!$E$3,1,0))</f>
        <v>1</v>
      </c>
    </row>
    <row r="236" spans="1:12" x14ac:dyDescent="0.3">
      <c r="A236" s="3" t="s">
        <v>1527</v>
      </c>
      <c r="B236" s="3" t="s">
        <v>1526</v>
      </c>
      <c r="C236" s="3" t="s">
        <v>3</v>
      </c>
      <c r="D236" s="7">
        <v>0.70000000000000007</v>
      </c>
      <c r="E236" s="5">
        <v>44</v>
      </c>
      <c r="F236" s="5">
        <v>76</v>
      </c>
      <c r="G236" s="5">
        <v>42</v>
      </c>
      <c r="H236" s="5">
        <v>87</v>
      </c>
      <c r="I236" s="6">
        <f t="shared" si="9"/>
        <v>45</v>
      </c>
      <c r="J236">
        <f t="shared" si="10"/>
        <v>57.599999999999994</v>
      </c>
      <c r="K236" s="4" t="str">
        <f t="shared" si="11"/>
        <v>F</v>
      </c>
      <c r="L236">
        <f>IF(Helper!$E$3="All",1,IF(C236=Helper!$E$3,1,0))</f>
        <v>1</v>
      </c>
    </row>
    <row r="237" spans="1:12" x14ac:dyDescent="0.3">
      <c r="A237" s="3" t="s">
        <v>1525</v>
      </c>
      <c r="B237" s="3" t="s">
        <v>1524</v>
      </c>
      <c r="C237" s="3" t="s">
        <v>3</v>
      </c>
      <c r="D237" s="7">
        <v>0.67</v>
      </c>
      <c r="E237" s="5">
        <v>59</v>
      </c>
      <c r="F237" s="5">
        <v>77</v>
      </c>
      <c r="G237" s="5">
        <v>81</v>
      </c>
      <c r="H237" s="5">
        <v>86</v>
      </c>
      <c r="I237" s="6" t="str">
        <f t="shared" si="9"/>
        <v/>
      </c>
      <c r="J237">
        <f t="shared" si="10"/>
        <v>73.599999999999994</v>
      </c>
      <c r="K237" s="4" t="str">
        <f t="shared" si="11"/>
        <v>C</v>
      </c>
      <c r="L237">
        <f>IF(Helper!$E$3="All",1,IF(C237=Helper!$E$3,1,0))</f>
        <v>1</v>
      </c>
    </row>
    <row r="238" spans="1:12" x14ac:dyDescent="0.3">
      <c r="A238" s="3" t="s">
        <v>1523</v>
      </c>
      <c r="B238" s="3" t="s">
        <v>1522</v>
      </c>
      <c r="C238" s="3" t="s">
        <v>17</v>
      </c>
      <c r="D238" s="7">
        <v>0.85</v>
      </c>
      <c r="E238" s="5">
        <v>47</v>
      </c>
      <c r="F238" s="5">
        <v>60</v>
      </c>
      <c r="G238" s="5">
        <v>73</v>
      </c>
      <c r="H238" s="5">
        <v>84</v>
      </c>
      <c r="I238" s="6">
        <f t="shared" si="9"/>
        <v>11</v>
      </c>
      <c r="J238">
        <f t="shared" si="10"/>
        <v>78.150000000000006</v>
      </c>
      <c r="K238" s="4" t="str">
        <f t="shared" si="11"/>
        <v>C</v>
      </c>
      <c r="L238">
        <f>IF(Helper!$E$3="All",1,IF(C238=Helper!$E$3,1,0))</f>
        <v>1</v>
      </c>
    </row>
    <row r="239" spans="1:12" x14ac:dyDescent="0.3">
      <c r="A239" s="3" t="s">
        <v>1521</v>
      </c>
      <c r="B239" s="3" t="s">
        <v>1520</v>
      </c>
      <c r="C239" s="3" t="s">
        <v>17</v>
      </c>
      <c r="D239" s="7">
        <v>0.64</v>
      </c>
      <c r="E239" s="5">
        <v>82</v>
      </c>
      <c r="F239" s="5">
        <v>93</v>
      </c>
      <c r="G239" s="5">
        <v>71</v>
      </c>
      <c r="H239" s="5">
        <v>94</v>
      </c>
      <c r="I239" s="6">
        <f t="shared" si="9"/>
        <v>23</v>
      </c>
      <c r="J239">
        <f t="shared" si="10"/>
        <v>74.75</v>
      </c>
      <c r="K239" s="4" t="str">
        <f t="shared" si="11"/>
        <v>C</v>
      </c>
      <c r="L239">
        <f>IF(Helper!$E$3="All",1,IF(C239=Helper!$E$3,1,0))</f>
        <v>1</v>
      </c>
    </row>
    <row r="240" spans="1:12" x14ac:dyDescent="0.3">
      <c r="A240" s="3" t="s">
        <v>1519</v>
      </c>
      <c r="B240" s="3" t="s">
        <v>1518</v>
      </c>
      <c r="C240" s="3" t="s">
        <v>0</v>
      </c>
      <c r="D240" s="7">
        <v>0.65</v>
      </c>
      <c r="E240" s="5">
        <v>51</v>
      </c>
      <c r="F240" s="5">
        <v>79</v>
      </c>
      <c r="G240" s="5">
        <v>84</v>
      </c>
      <c r="H240" s="5">
        <v>40</v>
      </c>
      <c r="I240" s="6">
        <f t="shared" si="9"/>
        <v>-44</v>
      </c>
      <c r="J240">
        <f t="shared" si="10"/>
        <v>56.1</v>
      </c>
      <c r="K240" s="4" t="str">
        <f t="shared" si="11"/>
        <v>F</v>
      </c>
      <c r="L240">
        <f>IF(Helper!$E$3="All",1,IF(C240=Helper!$E$3,1,0))</f>
        <v>1</v>
      </c>
    </row>
    <row r="241" spans="1:12" x14ac:dyDescent="0.3">
      <c r="A241" s="3" t="s">
        <v>1517</v>
      </c>
      <c r="B241" s="3" t="s">
        <v>864</v>
      </c>
      <c r="C241" s="3" t="s">
        <v>3</v>
      </c>
      <c r="D241" s="7">
        <v>0.85</v>
      </c>
      <c r="E241" s="5">
        <v>40</v>
      </c>
      <c r="F241" s="5">
        <v>78</v>
      </c>
      <c r="G241" s="5">
        <v>90</v>
      </c>
      <c r="H241" s="5">
        <v>56</v>
      </c>
      <c r="I241" s="6">
        <f t="shared" si="9"/>
        <v>-34</v>
      </c>
      <c r="J241">
        <f t="shared" si="10"/>
        <v>74.3</v>
      </c>
      <c r="K241" s="4" t="str">
        <f t="shared" si="11"/>
        <v>C</v>
      </c>
      <c r="L241">
        <f>IF(Helper!$E$3="All",1,IF(C241=Helper!$E$3,1,0))</f>
        <v>1</v>
      </c>
    </row>
    <row r="242" spans="1:12" x14ac:dyDescent="0.3">
      <c r="A242" s="3" t="s">
        <v>1516</v>
      </c>
      <c r="B242" s="3" t="s">
        <v>1515</v>
      </c>
      <c r="C242" s="3" t="s">
        <v>17</v>
      </c>
      <c r="D242" s="7">
        <v>0.63</v>
      </c>
      <c r="E242" s="5">
        <v>96</v>
      </c>
      <c r="F242" s="5">
        <v>60</v>
      </c>
      <c r="G242" s="5">
        <v>97</v>
      </c>
      <c r="H242" s="5">
        <v>42</v>
      </c>
      <c r="I242" s="6">
        <f t="shared" si="9"/>
        <v>-55</v>
      </c>
      <c r="J242">
        <f t="shared" si="10"/>
        <v>63.399999999999991</v>
      </c>
      <c r="K242" s="4" t="str">
        <f t="shared" si="11"/>
        <v>D</v>
      </c>
      <c r="L242">
        <f>IF(Helper!$E$3="All",1,IF(C242=Helper!$E$3,1,0))</f>
        <v>1</v>
      </c>
    </row>
    <row r="243" spans="1:12" x14ac:dyDescent="0.3">
      <c r="A243" s="3" t="s">
        <v>1514</v>
      </c>
      <c r="B243" s="3" t="s">
        <v>1513</v>
      </c>
      <c r="C243" s="3" t="s">
        <v>0</v>
      </c>
      <c r="D243" s="7">
        <v>0.78</v>
      </c>
      <c r="E243" s="5">
        <v>93</v>
      </c>
      <c r="F243" s="5">
        <v>49</v>
      </c>
      <c r="G243" s="5">
        <v>88</v>
      </c>
      <c r="H243" s="5">
        <v>65</v>
      </c>
      <c r="I243" s="6" t="str">
        <f t="shared" si="9"/>
        <v/>
      </c>
      <c r="J243">
        <f t="shared" si="10"/>
        <v>78.300000000000011</v>
      </c>
      <c r="K243" s="4" t="str">
        <f t="shared" si="11"/>
        <v>C</v>
      </c>
      <c r="L243">
        <f>IF(Helper!$E$3="All",1,IF(C243=Helper!$E$3,1,0))</f>
        <v>1</v>
      </c>
    </row>
    <row r="244" spans="1:12" x14ac:dyDescent="0.3">
      <c r="A244" s="3" t="s">
        <v>1512</v>
      </c>
      <c r="B244" s="3" t="s">
        <v>1511</v>
      </c>
      <c r="C244" s="3" t="s">
        <v>3</v>
      </c>
      <c r="D244" s="7">
        <v>0.79</v>
      </c>
      <c r="E244" s="5">
        <v>59</v>
      </c>
      <c r="F244" s="5">
        <v>77</v>
      </c>
      <c r="G244" s="5">
        <v>60</v>
      </c>
      <c r="H244" s="5">
        <v>54</v>
      </c>
      <c r="I244" s="6" t="str">
        <f t="shared" si="9"/>
        <v/>
      </c>
      <c r="J244">
        <f t="shared" si="10"/>
        <v>62.4</v>
      </c>
      <c r="K244" s="4" t="str">
        <f t="shared" si="11"/>
        <v>D</v>
      </c>
      <c r="L244">
        <f>IF(Helper!$E$3="All",1,IF(C244=Helper!$E$3,1,0))</f>
        <v>1</v>
      </c>
    </row>
    <row r="245" spans="1:12" x14ac:dyDescent="0.3">
      <c r="A245" s="3" t="s">
        <v>1510</v>
      </c>
      <c r="B245" s="3" t="s">
        <v>1509</v>
      </c>
      <c r="C245" s="3" t="s">
        <v>8</v>
      </c>
      <c r="D245" s="7">
        <v>0.92</v>
      </c>
      <c r="E245" s="5">
        <v>67</v>
      </c>
      <c r="F245" s="5">
        <v>85</v>
      </c>
      <c r="G245" s="5">
        <v>85</v>
      </c>
      <c r="H245" s="5">
        <v>75</v>
      </c>
      <c r="I245" s="6" t="str">
        <f t="shared" si="9"/>
        <v/>
      </c>
      <c r="J245">
        <f t="shared" si="10"/>
        <v>81.599999999999994</v>
      </c>
      <c r="K245" s="4" t="str">
        <f t="shared" si="11"/>
        <v>B</v>
      </c>
      <c r="L245">
        <f>IF(Helper!$E$3="All",1,IF(C245=Helper!$E$3,1,0))</f>
        <v>1</v>
      </c>
    </row>
    <row r="246" spans="1:12" x14ac:dyDescent="0.3">
      <c r="A246" s="3" t="s">
        <v>1508</v>
      </c>
      <c r="B246" s="3" t="s">
        <v>1507</v>
      </c>
      <c r="C246" s="3" t="s">
        <v>0</v>
      </c>
      <c r="D246" s="7">
        <v>0.79</v>
      </c>
      <c r="E246" s="5">
        <v>96</v>
      </c>
      <c r="F246" s="5">
        <v>43</v>
      </c>
      <c r="G246" s="5">
        <v>83</v>
      </c>
      <c r="H246" s="5">
        <v>71</v>
      </c>
      <c r="I246" s="6" t="str">
        <f t="shared" si="9"/>
        <v/>
      </c>
      <c r="J246">
        <f t="shared" si="10"/>
        <v>78.549999999999983</v>
      </c>
      <c r="K246" s="4" t="str">
        <f t="shared" si="11"/>
        <v>C</v>
      </c>
      <c r="L246">
        <f>IF(Helper!$E$3="All",1,IF(C246=Helper!$E$3,1,0))</f>
        <v>1</v>
      </c>
    </row>
    <row r="247" spans="1:12" x14ac:dyDescent="0.3">
      <c r="A247" s="3" t="s">
        <v>1506</v>
      </c>
      <c r="B247" s="3" t="s">
        <v>1505</v>
      </c>
      <c r="C247" s="3" t="s">
        <v>17</v>
      </c>
      <c r="D247" s="7">
        <v>0.71</v>
      </c>
      <c r="E247" s="5">
        <v>82</v>
      </c>
      <c r="F247" s="5">
        <v>99</v>
      </c>
      <c r="G247" s="5">
        <v>60</v>
      </c>
      <c r="H247" s="5">
        <v>71</v>
      </c>
      <c r="I247" s="6">
        <f t="shared" si="9"/>
        <v>11</v>
      </c>
      <c r="J247">
        <f t="shared" si="10"/>
        <v>71.449999999999989</v>
      </c>
      <c r="K247" s="4" t="str">
        <f t="shared" si="11"/>
        <v>C</v>
      </c>
      <c r="L247">
        <f>IF(Helper!$E$3="All",1,IF(C247=Helper!$E$3,1,0))</f>
        <v>1</v>
      </c>
    </row>
    <row r="248" spans="1:12" x14ac:dyDescent="0.3">
      <c r="A248" s="3" t="s">
        <v>1504</v>
      </c>
      <c r="B248" s="3" t="s">
        <v>1503</v>
      </c>
      <c r="C248" s="3" t="s">
        <v>8</v>
      </c>
      <c r="D248" s="7">
        <v>0.6</v>
      </c>
      <c r="E248" s="5">
        <v>76</v>
      </c>
      <c r="F248" s="5">
        <v>96</v>
      </c>
      <c r="G248" s="5">
        <v>83</v>
      </c>
      <c r="H248" s="5">
        <v>43</v>
      </c>
      <c r="I248" s="6">
        <f t="shared" si="9"/>
        <v>-40</v>
      </c>
      <c r="J248">
        <f t="shared" si="10"/>
        <v>59</v>
      </c>
      <c r="K248" s="4" t="str">
        <f t="shared" si="11"/>
        <v>F</v>
      </c>
      <c r="L248">
        <f>IF(Helper!$E$3="All",1,IF(C248=Helper!$E$3,1,0))</f>
        <v>1</v>
      </c>
    </row>
    <row r="249" spans="1:12" x14ac:dyDescent="0.3">
      <c r="A249" s="3" t="s">
        <v>1502</v>
      </c>
      <c r="B249" s="3" t="s">
        <v>1501</v>
      </c>
      <c r="C249" s="3" t="s">
        <v>8</v>
      </c>
      <c r="D249" s="7">
        <v>0.85</v>
      </c>
      <c r="E249" s="5">
        <v>86</v>
      </c>
      <c r="F249" s="5">
        <v>84</v>
      </c>
      <c r="G249" s="5">
        <v>50</v>
      </c>
      <c r="H249" s="5">
        <v>57</v>
      </c>
      <c r="I249" s="6" t="str">
        <f t="shared" si="9"/>
        <v/>
      </c>
      <c r="J249">
        <f t="shared" si="10"/>
        <v>61.3</v>
      </c>
      <c r="K249" s="4" t="str">
        <f t="shared" si="11"/>
        <v>D</v>
      </c>
      <c r="L249">
        <f>IF(Helper!$E$3="All",1,IF(C249=Helper!$E$3,1,0))</f>
        <v>1</v>
      </c>
    </row>
    <row r="250" spans="1:12" x14ac:dyDescent="0.3">
      <c r="A250" s="3" t="s">
        <v>1500</v>
      </c>
      <c r="B250" s="3" t="s">
        <v>1499</v>
      </c>
      <c r="C250" s="3" t="s">
        <v>8</v>
      </c>
      <c r="D250" s="7">
        <v>0.43</v>
      </c>
      <c r="E250" s="5">
        <v>76</v>
      </c>
      <c r="F250" s="5">
        <v>59</v>
      </c>
      <c r="G250" s="5">
        <v>78</v>
      </c>
      <c r="H250" s="5">
        <v>88</v>
      </c>
      <c r="I250" s="6" t="str">
        <f t="shared" si="9"/>
        <v/>
      </c>
      <c r="J250">
        <f t="shared" si="10"/>
        <v>73.150000000000006</v>
      </c>
      <c r="K250" s="4" t="str">
        <f t="shared" si="11"/>
        <v>C</v>
      </c>
      <c r="L250">
        <f>IF(Helper!$E$3="All",1,IF(C250=Helper!$E$3,1,0))</f>
        <v>1</v>
      </c>
    </row>
    <row r="251" spans="1:12" x14ac:dyDescent="0.3">
      <c r="A251" s="3" t="s">
        <v>1498</v>
      </c>
      <c r="B251" s="3" t="s">
        <v>1497</v>
      </c>
      <c r="C251" s="3" t="s">
        <v>0</v>
      </c>
      <c r="D251" s="7">
        <v>0.97</v>
      </c>
      <c r="E251" s="5">
        <v>51</v>
      </c>
      <c r="F251" s="5">
        <v>56</v>
      </c>
      <c r="G251" s="5">
        <v>43</v>
      </c>
      <c r="H251" s="5">
        <v>58</v>
      </c>
      <c r="I251" s="6">
        <f t="shared" si="9"/>
        <v>15</v>
      </c>
      <c r="J251">
        <f t="shared" si="10"/>
        <v>55.75</v>
      </c>
      <c r="K251" s="4" t="str">
        <f t="shared" si="11"/>
        <v>F</v>
      </c>
      <c r="L251">
        <f>IF(Helper!$E$3="All",1,IF(C251=Helper!$E$3,1,0))</f>
        <v>1</v>
      </c>
    </row>
    <row r="252" spans="1:12" x14ac:dyDescent="0.3">
      <c r="A252" s="3" t="s">
        <v>1496</v>
      </c>
      <c r="B252" s="3" t="s">
        <v>1495</v>
      </c>
      <c r="C252" s="3" t="s">
        <v>17</v>
      </c>
      <c r="D252" s="7">
        <v>0.96</v>
      </c>
      <c r="E252" s="5">
        <v>76</v>
      </c>
      <c r="F252" s="5">
        <v>94</v>
      </c>
      <c r="G252" s="5">
        <v>90</v>
      </c>
      <c r="H252" s="5">
        <v>82</v>
      </c>
      <c r="I252" s="6" t="str">
        <f t="shared" si="9"/>
        <v/>
      </c>
      <c r="J252">
        <f t="shared" si="10"/>
        <v>87.3</v>
      </c>
      <c r="K252" s="4" t="str">
        <f t="shared" si="11"/>
        <v>B</v>
      </c>
      <c r="L252">
        <f>IF(Helper!$E$3="All",1,IF(C252=Helper!$E$3,1,0))</f>
        <v>1</v>
      </c>
    </row>
    <row r="253" spans="1:12" x14ac:dyDescent="0.3">
      <c r="A253" s="3" t="s">
        <v>1494</v>
      </c>
      <c r="B253" s="3" t="s">
        <v>1493</v>
      </c>
      <c r="C253" s="3" t="s">
        <v>8</v>
      </c>
      <c r="D253" s="7">
        <v>0.8</v>
      </c>
      <c r="E253" s="5">
        <v>88</v>
      </c>
      <c r="F253" s="5">
        <v>46</v>
      </c>
      <c r="G253" s="5">
        <v>40</v>
      </c>
      <c r="H253" s="5">
        <v>91</v>
      </c>
      <c r="I253" s="6">
        <f t="shared" si="9"/>
        <v>51</v>
      </c>
      <c r="J253">
        <f t="shared" si="10"/>
        <v>69.099999999999994</v>
      </c>
      <c r="K253" s="4" t="str">
        <f t="shared" si="11"/>
        <v>D</v>
      </c>
      <c r="L253">
        <f>IF(Helper!$E$3="All",1,IF(C253=Helper!$E$3,1,0))</f>
        <v>1</v>
      </c>
    </row>
    <row r="254" spans="1:12" x14ac:dyDescent="0.3">
      <c r="A254" s="3" t="s">
        <v>1492</v>
      </c>
      <c r="B254" s="3" t="s">
        <v>1491</v>
      </c>
      <c r="C254" s="3" t="s">
        <v>3</v>
      </c>
      <c r="D254" s="7">
        <v>0.95000000000000007</v>
      </c>
      <c r="E254" s="5">
        <v>88</v>
      </c>
      <c r="F254" s="5">
        <v>43</v>
      </c>
      <c r="G254" s="5">
        <v>67</v>
      </c>
      <c r="H254" s="5">
        <v>74</v>
      </c>
      <c r="I254" s="6" t="str">
        <f t="shared" si="9"/>
        <v/>
      </c>
      <c r="J254">
        <f t="shared" si="10"/>
        <v>72.95</v>
      </c>
      <c r="K254" s="4" t="str">
        <f t="shared" si="11"/>
        <v>C</v>
      </c>
      <c r="L254">
        <f>IF(Helper!$E$3="All",1,IF(C254=Helper!$E$3,1,0))</f>
        <v>1</v>
      </c>
    </row>
    <row r="255" spans="1:12" x14ac:dyDescent="0.3">
      <c r="A255" s="3" t="s">
        <v>1490</v>
      </c>
      <c r="B255" s="3" t="s">
        <v>1489</v>
      </c>
      <c r="C255" s="3" t="s">
        <v>8</v>
      </c>
      <c r="D255" s="7">
        <v>0.72</v>
      </c>
      <c r="E255" s="5">
        <v>95</v>
      </c>
      <c r="F255" s="5">
        <v>68</v>
      </c>
      <c r="G255" s="5">
        <v>63</v>
      </c>
      <c r="H255" s="5">
        <v>79</v>
      </c>
      <c r="I255" s="6">
        <f t="shared" si="9"/>
        <v>16</v>
      </c>
      <c r="J255">
        <f t="shared" si="10"/>
        <v>74.949999999999989</v>
      </c>
      <c r="K255" s="4" t="str">
        <f t="shared" si="11"/>
        <v>C</v>
      </c>
      <c r="L255">
        <f>IF(Helper!$E$3="All",1,IF(C255=Helper!$E$3,1,0))</f>
        <v>1</v>
      </c>
    </row>
    <row r="256" spans="1:12" x14ac:dyDescent="0.3">
      <c r="A256" s="3" t="s">
        <v>1488</v>
      </c>
      <c r="B256" s="3" t="s">
        <v>1487</v>
      </c>
      <c r="C256" s="3" t="s">
        <v>8</v>
      </c>
      <c r="D256" s="7">
        <v>0.62</v>
      </c>
      <c r="E256" s="5">
        <v>83</v>
      </c>
      <c r="F256" s="5">
        <v>53</v>
      </c>
      <c r="G256" s="5">
        <v>100</v>
      </c>
      <c r="H256" s="5">
        <v>53</v>
      </c>
      <c r="I256" s="6">
        <f t="shared" si="9"/>
        <v>-47</v>
      </c>
      <c r="J256">
        <f t="shared" si="10"/>
        <v>68</v>
      </c>
      <c r="K256" s="4" t="str">
        <f t="shared" si="11"/>
        <v>D</v>
      </c>
      <c r="L256">
        <f>IF(Helper!$E$3="All",1,IF(C256=Helper!$E$3,1,0))</f>
        <v>1</v>
      </c>
    </row>
    <row r="257" spans="1:12" x14ac:dyDescent="0.3">
      <c r="A257" s="3" t="s">
        <v>1486</v>
      </c>
      <c r="B257" s="3" t="s">
        <v>1485</v>
      </c>
      <c r="C257" s="3" t="s">
        <v>0</v>
      </c>
      <c r="D257" s="7">
        <v>0.92</v>
      </c>
      <c r="E257" s="5">
        <v>95</v>
      </c>
      <c r="F257" s="5">
        <v>42</v>
      </c>
      <c r="G257" s="5">
        <v>74</v>
      </c>
      <c r="H257" s="5">
        <v>97</v>
      </c>
      <c r="I257" s="6">
        <f t="shared" si="9"/>
        <v>23</v>
      </c>
      <c r="J257">
        <f t="shared" si="10"/>
        <v>85.25</v>
      </c>
      <c r="K257" s="4" t="str">
        <f t="shared" si="11"/>
        <v>B</v>
      </c>
      <c r="L257">
        <f>IF(Helper!$E$3="All",1,IF(C257=Helper!$E$3,1,0))</f>
        <v>1</v>
      </c>
    </row>
    <row r="258" spans="1:12" x14ac:dyDescent="0.3">
      <c r="A258" s="3" t="s">
        <v>1484</v>
      </c>
      <c r="B258" s="3" t="s">
        <v>1483</v>
      </c>
      <c r="C258" s="3" t="s">
        <v>0</v>
      </c>
      <c r="D258" s="7">
        <v>0.65</v>
      </c>
      <c r="E258" s="5">
        <v>67</v>
      </c>
      <c r="F258" s="5">
        <v>63</v>
      </c>
      <c r="G258" s="5">
        <v>52</v>
      </c>
      <c r="H258" s="5">
        <v>72</v>
      </c>
      <c r="I258" s="6">
        <f t="shared" ref="I258:I321" si="12">IF(H258&gt;G258*1.15,H258-G258,IF(H258&lt;G258*0.65,H258-G258,""))</f>
        <v>20</v>
      </c>
      <c r="J258">
        <f t="shared" ref="J258:J321" si="13">IF(ISBLANK(D258),"",IF(D258&gt;0.7,10,0)+(E258/100*5)+(F258/100*5)+(G258/100*40)+(H258/100*40))</f>
        <v>56.099999999999994</v>
      </c>
      <c r="K258" s="4" t="str">
        <f t="shared" ref="K258:K321" si="14">IF(J258&gt;=90,"A",IF(J258&gt;=80,"B",IF(J258&gt;=70,"C",IF(J258&gt;=60,"D","F"))))</f>
        <v>F</v>
      </c>
      <c r="L258">
        <f>IF(Helper!$E$3="All",1,IF(C258=Helper!$E$3,1,0))</f>
        <v>1</v>
      </c>
    </row>
    <row r="259" spans="1:12" x14ac:dyDescent="0.3">
      <c r="A259" s="3" t="s">
        <v>1482</v>
      </c>
      <c r="B259" s="3" t="s">
        <v>1481</v>
      </c>
      <c r="C259" s="3" t="s">
        <v>17</v>
      </c>
      <c r="D259" s="7">
        <v>0.69000000000000006</v>
      </c>
      <c r="E259" s="5">
        <v>86</v>
      </c>
      <c r="F259" s="5">
        <v>76</v>
      </c>
      <c r="G259" s="5">
        <v>86</v>
      </c>
      <c r="H259" s="5">
        <v>53</v>
      </c>
      <c r="I259" s="6">
        <f t="shared" si="12"/>
        <v>-33</v>
      </c>
      <c r="J259">
        <f t="shared" si="13"/>
        <v>63.7</v>
      </c>
      <c r="K259" s="4" t="str">
        <f t="shared" si="14"/>
        <v>D</v>
      </c>
      <c r="L259">
        <f>IF(Helper!$E$3="All",1,IF(C259=Helper!$E$3,1,0))</f>
        <v>1</v>
      </c>
    </row>
    <row r="260" spans="1:12" x14ac:dyDescent="0.3">
      <c r="A260" s="3" t="s">
        <v>1480</v>
      </c>
      <c r="B260" s="3" t="s">
        <v>1479</v>
      </c>
      <c r="C260" s="3" t="s">
        <v>3</v>
      </c>
      <c r="D260" s="7">
        <v>0.64</v>
      </c>
      <c r="E260" s="5">
        <v>54</v>
      </c>
      <c r="F260" s="5">
        <v>55</v>
      </c>
      <c r="G260" s="5">
        <v>73</v>
      </c>
      <c r="H260" s="5">
        <v>73</v>
      </c>
      <c r="I260" s="6" t="str">
        <f t="shared" si="12"/>
        <v/>
      </c>
      <c r="J260">
        <f t="shared" si="13"/>
        <v>63.849999999999994</v>
      </c>
      <c r="K260" s="4" t="str">
        <f t="shared" si="14"/>
        <v>D</v>
      </c>
      <c r="L260">
        <f>IF(Helper!$E$3="All",1,IF(C260=Helper!$E$3,1,0))</f>
        <v>1</v>
      </c>
    </row>
    <row r="261" spans="1:12" x14ac:dyDescent="0.3">
      <c r="A261" s="3" t="s">
        <v>1478</v>
      </c>
      <c r="B261" s="3" t="s">
        <v>1477</v>
      </c>
      <c r="C261" s="3" t="s">
        <v>0</v>
      </c>
      <c r="D261" s="7">
        <v>0.82000000000000006</v>
      </c>
      <c r="E261" s="5">
        <v>45</v>
      </c>
      <c r="F261" s="5">
        <v>97</v>
      </c>
      <c r="G261" s="5">
        <v>50</v>
      </c>
      <c r="H261" s="5">
        <v>100</v>
      </c>
      <c r="I261" s="6">
        <f t="shared" si="12"/>
        <v>50</v>
      </c>
      <c r="J261">
        <f t="shared" si="13"/>
        <v>77.099999999999994</v>
      </c>
      <c r="K261" s="4" t="str">
        <f t="shared" si="14"/>
        <v>C</v>
      </c>
      <c r="L261">
        <f>IF(Helper!$E$3="All",1,IF(C261=Helper!$E$3,1,0))</f>
        <v>1</v>
      </c>
    </row>
    <row r="262" spans="1:12" x14ac:dyDescent="0.3">
      <c r="A262" s="3" t="s">
        <v>1476</v>
      </c>
      <c r="B262" s="3" t="s">
        <v>1475</v>
      </c>
      <c r="C262" s="3" t="s">
        <v>8</v>
      </c>
      <c r="D262" s="7">
        <v>0.69000000000000006</v>
      </c>
      <c r="E262" s="5">
        <v>83</v>
      </c>
      <c r="F262" s="5">
        <v>94</v>
      </c>
      <c r="G262" s="5">
        <v>75</v>
      </c>
      <c r="H262" s="5">
        <v>94</v>
      </c>
      <c r="I262" s="6">
        <f t="shared" si="12"/>
        <v>19</v>
      </c>
      <c r="J262">
        <f t="shared" si="13"/>
        <v>76.449999999999989</v>
      </c>
      <c r="K262" s="4" t="str">
        <f t="shared" si="14"/>
        <v>C</v>
      </c>
      <c r="L262">
        <f>IF(Helper!$E$3="All",1,IF(C262=Helper!$E$3,1,0))</f>
        <v>1</v>
      </c>
    </row>
    <row r="263" spans="1:12" x14ac:dyDescent="0.3">
      <c r="A263" s="3" t="s">
        <v>1474</v>
      </c>
      <c r="B263" s="3" t="s">
        <v>1473</v>
      </c>
      <c r="C263" s="3" t="s">
        <v>17</v>
      </c>
      <c r="D263" s="7">
        <v>0.61</v>
      </c>
      <c r="E263" s="5">
        <v>98</v>
      </c>
      <c r="F263" s="5">
        <v>91</v>
      </c>
      <c r="G263" s="5">
        <v>90</v>
      </c>
      <c r="H263" s="5">
        <v>43</v>
      </c>
      <c r="I263" s="6">
        <f t="shared" si="12"/>
        <v>-47</v>
      </c>
      <c r="J263">
        <f t="shared" si="13"/>
        <v>62.650000000000006</v>
      </c>
      <c r="K263" s="4" t="str">
        <f t="shared" si="14"/>
        <v>D</v>
      </c>
      <c r="L263">
        <f>IF(Helper!$E$3="All",1,IF(C263=Helper!$E$3,1,0))</f>
        <v>1</v>
      </c>
    </row>
    <row r="264" spans="1:12" x14ac:dyDescent="0.3">
      <c r="A264" s="3" t="s">
        <v>1472</v>
      </c>
      <c r="B264" s="3" t="s">
        <v>1471</v>
      </c>
      <c r="C264" s="3" t="s">
        <v>8</v>
      </c>
      <c r="D264" s="7">
        <v>0.72</v>
      </c>
      <c r="E264" s="5">
        <v>100</v>
      </c>
      <c r="F264" s="5">
        <v>43</v>
      </c>
      <c r="G264" s="5">
        <v>100</v>
      </c>
      <c r="H264" s="5">
        <v>63</v>
      </c>
      <c r="I264" s="6">
        <f t="shared" si="12"/>
        <v>-37</v>
      </c>
      <c r="J264">
        <f t="shared" si="13"/>
        <v>82.35</v>
      </c>
      <c r="K264" s="4" t="str">
        <f t="shared" si="14"/>
        <v>B</v>
      </c>
      <c r="L264">
        <f>IF(Helper!$E$3="All",1,IF(C264=Helper!$E$3,1,0))</f>
        <v>1</v>
      </c>
    </row>
    <row r="265" spans="1:12" x14ac:dyDescent="0.3">
      <c r="A265" s="3" t="s">
        <v>1470</v>
      </c>
      <c r="B265" s="3" t="s">
        <v>1469</v>
      </c>
      <c r="C265" s="3" t="s">
        <v>8</v>
      </c>
      <c r="D265" s="7">
        <v>0.99</v>
      </c>
      <c r="E265" s="5">
        <v>59</v>
      </c>
      <c r="F265" s="5">
        <v>95</v>
      </c>
      <c r="G265" s="5">
        <v>56</v>
      </c>
      <c r="H265" s="5">
        <v>98</v>
      </c>
      <c r="I265" s="6">
        <f t="shared" si="12"/>
        <v>42</v>
      </c>
      <c r="J265">
        <f t="shared" si="13"/>
        <v>79.300000000000011</v>
      </c>
      <c r="K265" s="4" t="str">
        <f t="shared" si="14"/>
        <v>C</v>
      </c>
      <c r="L265">
        <f>IF(Helper!$E$3="All",1,IF(C265=Helper!$E$3,1,0))</f>
        <v>1</v>
      </c>
    </row>
    <row r="266" spans="1:12" x14ac:dyDescent="0.3">
      <c r="A266" s="3" t="s">
        <v>1468</v>
      </c>
      <c r="B266" s="3" t="s">
        <v>1467</v>
      </c>
      <c r="C266" s="3" t="s">
        <v>0</v>
      </c>
      <c r="D266" s="7">
        <v>0.61</v>
      </c>
      <c r="E266" s="5">
        <v>89</v>
      </c>
      <c r="F266" s="5">
        <v>63</v>
      </c>
      <c r="G266" s="5">
        <v>74</v>
      </c>
      <c r="H266" s="5">
        <v>68</v>
      </c>
      <c r="I266" s="6" t="str">
        <f t="shared" si="12"/>
        <v/>
      </c>
      <c r="J266">
        <f t="shared" si="13"/>
        <v>64.400000000000006</v>
      </c>
      <c r="K266" s="4" t="str">
        <f t="shared" si="14"/>
        <v>D</v>
      </c>
      <c r="L266">
        <f>IF(Helper!$E$3="All",1,IF(C266=Helper!$E$3,1,0))</f>
        <v>1</v>
      </c>
    </row>
    <row r="267" spans="1:12" x14ac:dyDescent="0.3">
      <c r="A267" s="3" t="s">
        <v>1466</v>
      </c>
      <c r="B267" s="3" t="s">
        <v>1465</v>
      </c>
      <c r="C267" s="3" t="s">
        <v>17</v>
      </c>
      <c r="D267" s="7">
        <v>0.79</v>
      </c>
      <c r="E267" s="5">
        <v>53</v>
      </c>
      <c r="F267" s="5">
        <v>73</v>
      </c>
      <c r="G267" s="5">
        <v>99</v>
      </c>
      <c r="H267" s="5">
        <v>58</v>
      </c>
      <c r="I267" s="6">
        <f t="shared" si="12"/>
        <v>-41</v>
      </c>
      <c r="J267">
        <f t="shared" si="13"/>
        <v>79.100000000000009</v>
      </c>
      <c r="K267" s="4" t="str">
        <f t="shared" si="14"/>
        <v>C</v>
      </c>
      <c r="L267">
        <f>IF(Helper!$E$3="All",1,IF(C267=Helper!$E$3,1,0))</f>
        <v>1</v>
      </c>
    </row>
    <row r="268" spans="1:12" x14ac:dyDescent="0.3">
      <c r="A268" s="3" t="s">
        <v>1464</v>
      </c>
      <c r="B268" s="3" t="s">
        <v>1463</v>
      </c>
      <c r="C268" s="3" t="s">
        <v>3</v>
      </c>
      <c r="D268" s="7">
        <v>0.6</v>
      </c>
      <c r="E268" s="5">
        <v>41</v>
      </c>
      <c r="F268" s="5">
        <v>69</v>
      </c>
      <c r="G268" s="5">
        <v>57</v>
      </c>
      <c r="H268" s="5">
        <v>45</v>
      </c>
      <c r="I268" s="6" t="str">
        <f t="shared" si="12"/>
        <v/>
      </c>
      <c r="J268">
        <f t="shared" si="13"/>
        <v>46.3</v>
      </c>
      <c r="K268" s="4" t="str">
        <f t="shared" si="14"/>
        <v>F</v>
      </c>
      <c r="L268">
        <f>IF(Helper!$E$3="All",1,IF(C268=Helper!$E$3,1,0))</f>
        <v>1</v>
      </c>
    </row>
    <row r="269" spans="1:12" x14ac:dyDescent="0.3">
      <c r="A269" s="3" t="s">
        <v>1462</v>
      </c>
      <c r="B269" s="3" t="s">
        <v>1461</v>
      </c>
      <c r="C269" s="3" t="s">
        <v>3</v>
      </c>
      <c r="D269" s="7">
        <v>0.96</v>
      </c>
      <c r="E269" s="5">
        <v>48</v>
      </c>
      <c r="F269" s="5">
        <v>57</v>
      </c>
      <c r="G269" s="5">
        <v>79</v>
      </c>
      <c r="H269" s="5">
        <v>96</v>
      </c>
      <c r="I269" s="6">
        <f t="shared" si="12"/>
        <v>17</v>
      </c>
      <c r="J269">
        <f t="shared" si="13"/>
        <v>85.25</v>
      </c>
      <c r="K269" s="4" t="str">
        <f t="shared" si="14"/>
        <v>B</v>
      </c>
      <c r="L269">
        <f>IF(Helper!$E$3="All",1,IF(C269=Helper!$E$3,1,0))</f>
        <v>1</v>
      </c>
    </row>
    <row r="270" spans="1:12" x14ac:dyDescent="0.3">
      <c r="A270" s="3" t="s">
        <v>1460</v>
      </c>
      <c r="B270" s="3" t="s">
        <v>1459</v>
      </c>
      <c r="C270" s="3" t="s">
        <v>0</v>
      </c>
      <c r="D270" s="7">
        <v>0.68</v>
      </c>
      <c r="E270" s="5">
        <v>76</v>
      </c>
      <c r="F270" s="5">
        <v>58</v>
      </c>
      <c r="G270" s="5">
        <v>61</v>
      </c>
      <c r="H270" s="5">
        <v>72</v>
      </c>
      <c r="I270" s="6">
        <f t="shared" si="12"/>
        <v>11</v>
      </c>
      <c r="J270">
        <f t="shared" si="13"/>
        <v>59.899999999999991</v>
      </c>
      <c r="K270" s="4" t="str">
        <f t="shared" si="14"/>
        <v>F</v>
      </c>
      <c r="L270">
        <f>IF(Helper!$E$3="All",1,IF(C270=Helper!$E$3,1,0))</f>
        <v>1</v>
      </c>
    </row>
    <row r="271" spans="1:12" x14ac:dyDescent="0.3">
      <c r="A271" s="3" t="s">
        <v>1458</v>
      </c>
      <c r="B271" s="3" t="s">
        <v>1457</v>
      </c>
      <c r="C271" s="3" t="s">
        <v>0</v>
      </c>
      <c r="D271" s="7">
        <v>0.76</v>
      </c>
      <c r="E271" s="5">
        <v>59</v>
      </c>
      <c r="F271" s="5">
        <v>70</v>
      </c>
      <c r="G271" s="5">
        <v>96</v>
      </c>
      <c r="H271" s="5">
        <v>88</v>
      </c>
      <c r="I271" s="6" t="str">
        <f t="shared" si="12"/>
        <v/>
      </c>
      <c r="J271">
        <f t="shared" si="13"/>
        <v>90.05</v>
      </c>
      <c r="K271" s="4" t="str">
        <f t="shared" si="14"/>
        <v>A</v>
      </c>
      <c r="L271">
        <f>IF(Helper!$E$3="All",1,IF(C271=Helper!$E$3,1,0))</f>
        <v>1</v>
      </c>
    </row>
    <row r="272" spans="1:12" x14ac:dyDescent="0.3">
      <c r="A272" s="3" t="s">
        <v>1456</v>
      </c>
      <c r="B272" s="3" t="s">
        <v>1455</v>
      </c>
      <c r="C272" s="3" t="s">
        <v>17</v>
      </c>
      <c r="D272" s="7">
        <v>0.68</v>
      </c>
      <c r="E272" s="5">
        <v>65</v>
      </c>
      <c r="F272" s="5">
        <v>99</v>
      </c>
      <c r="G272" s="5">
        <v>63</v>
      </c>
      <c r="H272" s="5">
        <v>79</v>
      </c>
      <c r="I272" s="6">
        <f t="shared" si="12"/>
        <v>16</v>
      </c>
      <c r="J272">
        <f t="shared" si="13"/>
        <v>65</v>
      </c>
      <c r="K272" s="4" t="str">
        <f t="shared" si="14"/>
        <v>D</v>
      </c>
      <c r="L272">
        <f>IF(Helper!$E$3="All",1,IF(C272=Helper!$E$3,1,0))</f>
        <v>1</v>
      </c>
    </row>
    <row r="273" spans="1:12" x14ac:dyDescent="0.3">
      <c r="A273" s="3" t="s">
        <v>1454</v>
      </c>
      <c r="B273" s="3" t="s">
        <v>1453</v>
      </c>
      <c r="C273" s="3" t="s">
        <v>3</v>
      </c>
      <c r="D273" s="7">
        <v>0.70000000000000007</v>
      </c>
      <c r="E273" s="5">
        <v>68</v>
      </c>
      <c r="F273" s="5">
        <v>99</v>
      </c>
      <c r="G273" s="5">
        <v>97</v>
      </c>
      <c r="H273" s="5">
        <v>58</v>
      </c>
      <c r="I273" s="6">
        <f t="shared" si="12"/>
        <v>-39</v>
      </c>
      <c r="J273">
        <f t="shared" si="13"/>
        <v>70.349999999999994</v>
      </c>
      <c r="K273" s="4" t="str">
        <f t="shared" si="14"/>
        <v>C</v>
      </c>
      <c r="L273">
        <f>IF(Helper!$E$3="All",1,IF(C273=Helper!$E$3,1,0))</f>
        <v>1</v>
      </c>
    </row>
    <row r="274" spans="1:12" x14ac:dyDescent="0.3">
      <c r="A274" s="3" t="s">
        <v>1452</v>
      </c>
      <c r="B274" s="3" t="s">
        <v>247</v>
      </c>
      <c r="C274" s="3" t="s">
        <v>3</v>
      </c>
      <c r="D274" s="7">
        <v>0.74</v>
      </c>
      <c r="E274" s="5">
        <v>40</v>
      </c>
      <c r="F274" s="5">
        <v>58</v>
      </c>
      <c r="G274" s="5">
        <v>58</v>
      </c>
      <c r="H274" s="5">
        <v>92</v>
      </c>
      <c r="I274" s="6">
        <f t="shared" si="12"/>
        <v>34</v>
      </c>
      <c r="J274">
        <f t="shared" si="13"/>
        <v>74.900000000000006</v>
      </c>
      <c r="K274" s="4" t="str">
        <f t="shared" si="14"/>
        <v>C</v>
      </c>
      <c r="L274">
        <f>IF(Helper!$E$3="All",1,IF(C274=Helper!$E$3,1,0))</f>
        <v>1</v>
      </c>
    </row>
    <row r="275" spans="1:12" x14ac:dyDescent="0.3">
      <c r="A275" s="3" t="s">
        <v>1451</v>
      </c>
      <c r="B275" s="3" t="s">
        <v>1450</v>
      </c>
      <c r="C275" s="3" t="s">
        <v>3</v>
      </c>
      <c r="D275" s="7">
        <v>0.83000000000000007</v>
      </c>
      <c r="E275" s="5">
        <v>94</v>
      </c>
      <c r="F275" s="5">
        <v>88</v>
      </c>
      <c r="G275" s="5">
        <v>76</v>
      </c>
      <c r="H275" s="5">
        <v>40</v>
      </c>
      <c r="I275" s="6">
        <f t="shared" si="12"/>
        <v>-36</v>
      </c>
      <c r="J275">
        <f t="shared" si="13"/>
        <v>65.5</v>
      </c>
      <c r="K275" s="4" t="str">
        <f t="shared" si="14"/>
        <v>D</v>
      </c>
      <c r="L275">
        <f>IF(Helper!$E$3="All",1,IF(C275=Helper!$E$3,1,0))</f>
        <v>1</v>
      </c>
    </row>
    <row r="276" spans="1:12" x14ac:dyDescent="0.3">
      <c r="A276" s="3" t="s">
        <v>1449</v>
      </c>
      <c r="B276" s="3" t="s">
        <v>1448</v>
      </c>
      <c r="C276" s="3" t="s">
        <v>8</v>
      </c>
      <c r="D276" s="7">
        <v>0.97</v>
      </c>
      <c r="E276" s="5">
        <v>74</v>
      </c>
      <c r="F276" s="5">
        <v>85</v>
      </c>
      <c r="G276" s="5">
        <v>78</v>
      </c>
      <c r="H276" s="5">
        <v>44</v>
      </c>
      <c r="I276" s="6">
        <f t="shared" si="12"/>
        <v>-34</v>
      </c>
      <c r="J276">
        <f t="shared" si="13"/>
        <v>66.75</v>
      </c>
      <c r="K276" s="4" t="str">
        <f t="shared" si="14"/>
        <v>D</v>
      </c>
      <c r="L276">
        <f>IF(Helper!$E$3="All",1,IF(C276=Helper!$E$3,1,0))</f>
        <v>1</v>
      </c>
    </row>
    <row r="277" spans="1:12" x14ac:dyDescent="0.3">
      <c r="A277" s="3" t="s">
        <v>1447</v>
      </c>
      <c r="B277" s="3" t="s">
        <v>1446</v>
      </c>
      <c r="C277" s="3" t="s">
        <v>3</v>
      </c>
      <c r="D277" s="7">
        <v>0.94000000000000006</v>
      </c>
      <c r="E277" s="5">
        <v>45</v>
      </c>
      <c r="F277" s="5">
        <v>58</v>
      </c>
      <c r="G277" s="5">
        <v>60</v>
      </c>
      <c r="H277" s="5">
        <v>66</v>
      </c>
      <c r="I277" s="6" t="str">
        <f t="shared" si="12"/>
        <v/>
      </c>
      <c r="J277">
        <f t="shared" si="13"/>
        <v>65.55</v>
      </c>
      <c r="K277" s="4" t="str">
        <f t="shared" si="14"/>
        <v>D</v>
      </c>
      <c r="L277">
        <f>IF(Helper!$E$3="All",1,IF(C277=Helper!$E$3,1,0))</f>
        <v>1</v>
      </c>
    </row>
    <row r="278" spans="1:12" x14ac:dyDescent="0.3">
      <c r="A278" s="3" t="s">
        <v>1445</v>
      </c>
      <c r="B278" s="3" t="s">
        <v>1444</v>
      </c>
      <c r="C278" s="3" t="s">
        <v>8</v>
      </c>
      <c r="D278" s="7">
        <v>0.89</v>
      </c>
      <c r="E278" s="5">
        <v>76</v>
      </c>
      <c r="F278" s="5">
        <v>61</v>
      </c>
      <c r="G278" s="5">
        <v>47</v>
      </c>
      <c r="H278" s="5">
        <v>55</v>
      </c>
      <c r="I278" s="6">
        <f t="shared" si="12"/>
        <v>8</v>
      </c>
      <c r="J278">
        <f t="shared" si="13"/>
        <v>57.65</v>
      </c>
      <c r="K278" s="4" t="str">
        <f t="shared" si="14"/>
        <v>F</v>
      </c>
      <c r="L278">
        <f>IF(Helper!$E$3="All",1,IF(C278=Helper!$E$3,1,0))</f>
        <v>1</v>
      </c>
    </row>
    <row r="279" spans="1:12" x14ac:dyDescent="0.3">
      <c r="A279" s="3" t="s">
        <v>1443</v>
      </c>
      <c r="B279" s="3" t="s">
        <v>1442</v>
      </c>
      <c r="C279" s="3" t="s">
        <v>17</v>
      </c>
      <c r="D279" s="7">
        <v>0.9</v>
      </c>
      <c r="E279" s="5">
        <v>92</v>
      </c>
      <c r="F279" s="5">
        <v>63</v>
      </c>
      <c r="G279" s="5">
        <v>67</v>
      </c>
      <c r="H279" s="5">
        <v>45</v>
      </c>
      <c r="I279" s="6" t="str">
        <f t="shared" si="12"/>
        <v/>
      </c>
      <c r="J279">
        <f t="shared" si="13"/>
        <v>62.55</v>
      </c>
      <c r="K279" s="4" t="str">
        <f t="shared" si="14"/>
        <v>D</v>
      </c>
      <c r="L279">
        <f>IF(Helper!$E$3="All",1,IF(C279=Helper!$E$3,1,0))</f>
        <v>1</v>
      </c>
    </row>
    <row r="280" spans="1:12" x14ac:dyDescent="0.3">
      <c r="A280" s="3" t="s">
        <v>1441</v>
      </c>
      <c r="B280" s="3" t="s">
        <v>1440</v>
      </c>
      <c r="C280" s="3" t="s">
        <v>8</v>
      </c>
      <c r="D280" s="7">
        <v>0.64</v>
      </c>
      <c r="E280" s="5">
        <v>98</v>
      </c>
      <c r="F280" s="5">
        <v>84</v>
      </c>
      <c r="G280" s="5">
        <v>44</v>
      </c>
      <c r="H280" s="5">
        <v>79</v>
      </c>
      <c r="I280" s="6">
        <f t="shared" si="12"/>
        <v>35</v>
      </c>
      <c r="J280">
        <f t="shared" si="13"/>
        <v>58.300000000000004</v>
      </c>
      <c r="K280" s="4" t="str">
        <f t="shared" si="14"/>
        <v>F</v>
      </c>
      <c r="L280">
        <f>IF(Helper!$E$3="All",1,IF(C280=Helper!$E$3,1,0))</f>
        <v>1</v>
      </c>
    </row>
    <row r="281" spans="1:12" x14ac:dyDescent="0.3">
      <c r="A281" s="3" t="s">
        <v>1439</v>
      </c>
      <c r="B281" s="3" t="s">
        <v>1438</v>
      </c>
      <c r="C281" s="3" t="s">
        <v>17</v>
      </c>
      <c r="D281" s="7">
        <v>0.73</v>
      </c>
      <c r="E281" s="5">
        <v>44</v>
      </c>
      <c r="F281" s="5">
        <v>51</v>
      </c>
      <c r="G281" s="5">
        <v>56</v>
      </c>
      <c r="H281" s="5">
        <v>52</v>
      </c>
      <c r="I281" s="6" t="str">
        <f t="shared" si="12"/>
        <v/>
      </c>
      <c r="J281">
        <f t="shared" si="13"/>
        <v>57.95</v>
      </c>
      <c r="K281" s="4" t="str">
        <f t="shared" si="14"/>
        <v>F</v>
      </c>
      <c r="L281">
        <f>IF(Helper!$E$3="All",1,IF(C281=Helper!$E$3,1,0))</f>
        <v>1</v>
      </c>
    </row>
    <row r="282" spans="1:12" x14ac:dyDescent="0.3">
      <c r="A282" s="3" t="s">
        <v>1437</v>
      </c>
      <c r="B282" s="3" t="s">
        <v>1436</v>
      </c>
      <c r="C282" s="3" t="s">
        <v>3</v>
      </c>
      <c r="D282" s="7">
        <v>0.70000000000000007</v>
      </c>
      <c r="E282" s="5">
        <v>72</v>
      </c>
      <c r="F282" s="5">
        <v>69</v>
      </c>
      <c r="G282" s="5">
        <v>76</v>
      </c>
      <c r="H282" s="5">
        <v>87</v>
      </c>
      <c r="I282" s="6" t="str">
        <f t="shared" si="12"/>
        <v/>
      </c>
      <c r="J282">
        <f t="shared" si="13"/>
        <v>72.25</v>
      </c>
      <c r="K282" s="4" t="str">
        <f t="shared" si="14"/>
        <v>C</v>
      </c>
      <c r="L282">
        <f>IF(Helper!$E$3="All",1,IF(C282=Helper!$E$3,1,0))</f>
        <v>1</v>
      </c>
    </row>
    <row r="283" spans="1:12" x14ac:dyDescent="0.3">
      <c r="A283" s="3" t="s">
        <v>1435</v>
      </c>
      <c r="B283" s="3" t="s">
        <v>1434</v>
      </c>
      <c r="C283" s="3" t="s">
        <v>3</v>
      </c>
      <c r="D283" s="7">
        <v>0.68</v>
      </c>
      <c r="E283" s="5">
        <v>88</v>
      </c>
      <c r="F283" s="5">
        <v>97</v>
      </c>
      <c r="G283" s="5">
        <v>75</v>
      </c>
      <c r="H283" s="5">
        <v>74</v>
      </c>
      <c r="I283" s="6" t="str">
        <f t="shared" si="12"/>
        <v/>
      </c>
      <c r="J283">
        <f t="shared" si="13"/>
        <v>68.849999999999994</v>
      </c>
      <c r="K283" s="4" t="str">
        <f t="shared" si="14"/>
        <v>D</v>
      </c>
      <c r="L283">
        <f>IF(Helper!$E$3="All",1,IF(C283=Helper!$E$3,1,0))</f>
        <v>1</v>
      </c>
    </row>
    <row r="284" spans="1:12" x14ac:dyDescent="0.3">
      <c r="A284" s="3" t="s">
        <v>1433</v>
      </c>
      <c r="B284" s="3" t="s">
        <v>1432</v>
      </c>
      <c r="C284" s="3" t="s">
        <v>17</v>
      </c>
      <c r="D284" s="7">
        <v>0.93</v>
      </c>
      <c r="E284" s="5">
        <v>90</v>
      </c>
      <c r="F284" s="5">
        <v>77</v>
      </c>
      <c r="G284" s="5">
        <v>93</v>
      </c>
      <c r="H284" s="5">
        <v>58</v>
      </c>
      <c r="I284" s="6">
        <f t="shared" si="12"/>
        <v>-35</v>
      </c>
      <c r="J284">
        <f t="shared" si="13"/>
        <v>78.75</v>
      </c>
      <c r="K284" s="4" t="str">
        <f t="shared" si="14"/>
        <v>C</v>
      </c>
      <c r="L284">
        <f>IF(Helper!$E$3="All",1,IF(C284=Helper!$E$3,1,0))</f>
        <v>1</v>
      </c>
    </row>
    <row r="285" spans="1:12" x14ac:dyDescent="0.3">
      <c r="A285" s="3" t="s">
        <v>1431</v>
      </c>
      <c r="B285" s="3" t="s">
        <v>1430</v>
      </c>
      <c r="C285" s="3" t="s">
        <v>0</v>
      </c>
      <c r="D285" s="7">
        <v>0.71</v>
      </c>
      <c r="E285" s="5">
        <v>53</v>
      </c>
      <c r="F285" s="5">
        <v>92</v>
      </c>
      <c r="G285" s="5">
        <v>58</v>
      </c>
      <c r="H285" s="5">
        <v>51</v>
      </c>
      <c r="I285" s="6" t="str">
        <f t="shared" si="12"/>
        <v/>
      </c>
      <c r="J285">
        <f t="shared" si="13"/>
        <v>60.85</v>
      </c>
      <c r="K285" s="4" t="str">
        <f t="shared" si="14"/>
        <v>D</v>
      </c>
      <c r="L285">
        <f>IF(Helper!$E$3="All",1,IF(C285=Helper!$E$3,1,0))</f>
        <v>1</v>
      </c>
    </row>
    <row r="286" spans="1:12" x14ac:dyDescent="0.3">
      <c r="A286" s="3" t="s">
        <v>1429</v>
      </c>
      <c r="B286" s="3" t="s">
        <v>1428</v>
      </c>
      <c r="C286" s="3" t="s">
        <v>17</v>
      </c>
      <c r="D286" s="7">
        <v>0.94000000000000006</v>
      </c>
      <c r="E286" s="5">
        <v>51</v>
      </c>
      <c r="F286" s="5">
        <v>70</v>
      </c>
      <c r="G286" s="5">
        <v>66</v>
      </c>
      <c r="H286" s="5">
        <v>55</v>
      </c>
      <c r="I286" s="6" t="str">
        <f t="shared" si="12"/>
        <v/>
      </c>
      <c r="J286">
        <f t="shared" si="13"/>
        <v>64.45</v>
      </c>
      <c r="K286" s="4" t="str">
        <f t="shared" si="14"/>
        <v>D</v>
      </c>
      <c r="L286">
        <f>IF(Helper!$E$3="All",1,IF(C286=Helper!$E$3,1,0))</f>
        <v>1</v>
      </c>
    </row>
    <row r="287" spans="1:12" x14ac:dyDescent="0.3">
      <c r="A287" s="3" t="s">
        <v>1427</v>
      </c>
      <c r="B287" s="3" t="s">
        <v>1426</v>
      </c>
      <c r="C287" s="3" t="s">
        <v>0</v>
      </c>
      <c r="D287" s="7">
        <v>0.94000000000000006</v>
      </c>
      <c r="E287" s="5">
        <v>81</v>
      </c>
      <c r="F287" s="5">
        <v>75</v>
      </c>
      <c r="G287" s="5">
        <v>92</v>
      </c>
      <c r="H287" s="5">
        <v>98</v>
      </c>
      <c r="I287" s="6" t="str">
        <f t="shared" si="12"/>
        <v/>
      </c>
      <c r="J287">
        <f t="shared" si="13"/>
        <v>93.800000000000011</v>
      </c>
      <c r="K287" s="4" t="str">
        <f t="shared" si="14"/>
        <v>A</v>
      </c>
      <c r="L287">
        <f>IF(Helper!$E$3="All",1,IF(C287=Helper!$E$3,1,0))</f>
        <v>1</v>
      </c>
    </row>
    <row r="288" spans="1:12" x14ac:dyDescent="0.3">
      <c r="A288" s="3" t="s">
        <v>1425</v>
      </c>
      <c r="B288" s="3" t="s">
        <v>1424</v>
      </c>
      <c r="C288" s="3" t="s">
        <v>8</v>
      </c>
      <c r="D288" s="7">
        <v>0.6</v>
      </c>
      <c r="E288" s="5">
        <v>59</v>
      </c>
      <c r="F288" s="5">
        <v>58</v>
      </c>
      <c r="G288" s="5">
        <v>73</v>
      </c>
      <c r="H288" s="5">
        <v>82</v>
      </c>
      <c r="I288" s="6" t="str">
        <f t="shared" si="12"/>
        <v/>
      </c>
      <c r="J288">
        <f t="shared" si="13"/>
        <v>67.849999999999994</v>
      </c>
      <c r="K288" s="4" t="str">
        <f t="shared" si="14"/>
        <v>D</v>
      </c>
      <c r="L288">
        <f>IF(Helper!$E$3="All",1,IF(C288=Helper!$E$3,1,0))</f>
        <v>1</v>
      </c>
    </row>
    <row r="289" spans="1:12" x14ac:dyDescent="0.3">
      <c r="A289" s="3" t="s">
        <v>1423</v>
      </c>
      <c r="B289" s="3" t="s">
        <v>1422</v>
      </c>
      <c r="C289" s="3" t="s">
        <v>8</v>
      </c>
      <c r="D289" s="7">
        <v>0.99</v>
      </c>
      <c r="E289" s="5">
        <v>92</v>
      </c>
      <c r="F289" s="5">
        <v>87</v>
      </c>
      <c r="G289" s="5">
        <v>50</v>
      </c>
      <c r="H289" s="5">
        <v>49</v>
      </c>
      <c r="I289" s="6" t="str">
        <f t="shared" si="12"/>
        <v/>
      </c>
      <c r="J289">
        <f t="shared" si="13"/>
        <v>58.550000000000004</v>
      </c>
      <c r="K289" s="4" t="str">
        <f t="shared" si="14"/>
        <v>F</v>
      </c>
      <c r="L289">
        <f>IF(Helper!$E$3="All",1,IF(C289=Helper!$E$3,1,0))</f>
        <v>1</v>
      </c>
    </row>
    <row r="290" spans="1:12" x14ac:dyDescent="0.3">
      <c r="A290" s="3" t="s">
        <v>1421</v>
      </c>
      <c r="B290" s="3" t="s">
        <v>1420</v>
      </c>
      <c r="C290" s="3" t="s">
        <v>8</v>
      </c>
      <c r="D290" s="7">
        <v>0.81</v>
      </c>
      <c r="E290" s="5">
        <v>89</v>
      </c>
      <c r="F290" s="5">
        <v>84</v>
      </c>
      <c r="G290" s="5">
        <v>93</v>
      </c>
      <c r="H290" s="5">
        <v>64</v>
      </c>
      <c r="I290" s="6" t="str">
        <f t="shared" si="12"/>
        <v/>
      </c>
      <c r="J290">
        <f t="shared" si="13"/>
        <v>81.45</v>
      </c>
      <c r="K290" s="4" t="str">
        <f t="shared" si="14"/>
        <v>B</v>
      </c>
      <c r="L290">
        <f>IF(Helper!$E$3="All",1,IF(C290=Helper!$E$3,1,0))</f>
        <v>1</v>
      </c>
    </row>
    <row r="291" spans="1:12" x14ac:dyDescent="0.3">
      <c r="A291" s="3" t="s">
        <v>1419</v>
      </c>
      <c r="B291" s="3" t="s">
        <v>1418</v>
      </c>
      <c r="C291" s="3" t="s">
        <v>3</v>
      </c>
      <c r="D291" s="7">
        <v>0.88</v>
      </c>
      <c r="E291" s="5">
        <v>63</v>
      </c>
      <c r="F291" s="5">
        <v>75</v>
      </c>
      <c r="G291" s="5">
        <v>84</v>
      </c>
      <c r="H291" s="5">
        <v>59</v>
      </c>
      <c r="I291" s="6" t="str">
        <f t="shared" si="12"/>
        <v/>
      </c>
      <c r="J291">
        <f t="shared" si="13"/>
        <v>74.099999999999994</v>
      </c>
      <c r="K291" s="4" t="str">
        <f t="shared" si="14"/>
        <v>C</v>
      </c>
      <c r="L291">
        <f>IF(Helper!$E$3="All",1,IF(C291=Helper!$E$3,1,0))</f>
        <v>1</v>
      </c>
    </row>
    <row r="292" spans="1:12" x14ac:dyDescent="0.3">
      <c r="A292" s="3" t="s">
        <v>1417</v>
      </c>
      <c r="B292" s="3" t="s">
        <v>1416</v>
      </c>
      <c r="C292" s="3" t="s">
        <v>8</v>
      </c>
      <c r="D292" s="7">
        <v>0.67</v>
      </c>
      <c r="E292" s="5">
        <v>98</v>
      </c>
      <c r="F292" s="5">
        <v>69</v>
      </c>
      <c r="G292" s="5">
        <v>86</v>
      </c>
      <c r="H292" s="5">
        <v>70</v>
      </c>
      <c r="I292" s="6" t="str">
        <f t="shared" si="12"/>
        <v/>
      </c>
      <c r="J292">
        <f t="shared" si="13"/>
        <v>70.75</v>
      </c>
      <c r="K292" s="4" t="str">
        <f t="shared" si="14"/>
        <v>C</v>
      </c>
      <c r="L292">
        <f>IF(Helper!$E$3="All",1,IF(C292=Helper!$E$3,1,0))</f>
        <v>1</v>
      </c>
    </row>
    <row r="293" spans="1:12" x14ac:dyDescent="0.3">
      <c r="A293" s="3" t="s">
        <v>1415</v>
      </c>
      <c r="B293" s="3" t="s">
        <v>1414</v>
      </c>
      <c r="C293" s="3" t="s">
        <v>0</v>
      </c>
      <c r="D293" s="7">
        <v>0.70000000000000007</v>
      </c>
      <c r="E293" s="5">
        <v>82</v>
      </c>
      <c r="F293" s="5">
        <v>94</v>
      </c>
      <c r="G293" s="5">
        <v>51</v>
      </c>
      <c r="H293" s="5">
        <v>43</v>
      </c>
      <c r="I293" s="6" t="str">
        <f t="shared" si="12"/>
        <v/>
      </c>
      <c r="J293">
        <f t="shared" si="13"/>
        <v>46.399999999999991</v>
      </c>
      <c r="K293" s="4" t="str">
        <f t="shared" si="14"/>
        <v>F</v>
      </c>
      <c r="L293">
        <f>IF(Helper!$E$3="All",1,IF(C293=Helper!$E$3,1,0))</f>
        <v>1</v>
      </c>
    </row>
    <row r="294" spans="1:12" x14ac:dyDescent="0.3">
      <c r="A294" s="3" t="s">
        <v>1413</v>
      </c>
      <c r="B294" s="3" t="s">
        <v>1412</v>
      </c>
      <c r="C294" s="3" t="s">
        <v>8</v>
      </c>
      <c r="D294" s="7">
        <v>1</v>
      </c>
      <c r="E294" s="5">
        <v>73</v>
      </c>
      <c r="F294" s="5">
        <v>88</v>
      </c>
      <c r="G294" s="5">
        <v>93</v>
      </c>
      <c r="H294" s="5">
        <v>83</v>
      </c>
      <c r="I294" s="6" t="str">
        <f t="shared" si="12"/>
        <v/>
      </c>
      <c r="J294">
        <f t="shared" si="13"/>
        <v>88.449999999999989</v>
      </c>
      <c r="K294" s="4" t="str">
        <f t="shared" si="14"/>
        <v>B</v>
      </c>
      <c r="L294">
        <f>IF(Helper!$E$3="All",1,IF(C294=Helper!$E$3,1,0))</f>
        <v>1</v>
      </c>
    </row>
    <row r="295" spans="1:12" x14ac:dyDescent="0.3">
      <c r="A295" s="3" t="s">
        <v>1411</v>
      </c>
      <c r="B295" s="3" t="s">
        <v>1410</v>
      </c>
      <c r="C295" s="3" t="s">
        <v>17</v>
      </c>
      <c r="D295" s="7">
        <v>0.96</v>
      </c>
      <c r="E295" s="5">
        <v>64</v>
      </c>
      <c r="F295" s="5">
        <v>94</v>
      </c>
      <c r="G295" s="5">
        <v>60</v>
      </c>
      <c r="H295" s="5">
        <v>62</v>
      </c>
      <c r="I295" s="6" t="str">
        <f t="shared" si="12"/>
        <v/>
      </c>
      <c r="J295">
        <f t="shared" si="13"/>
        <v>66.7</v>
      </c>
      <c r="K295" s="4" t="str">
        <f t="shared" si="14"/>
        <v>D</v>
      </c>
      <c r="L295">
        <f>IF(Helper!$E$3="All",1,IF(C295=Helper!$E$3,1,0))</f>
        <v>1</v>
      </c>
    </row>
    <row r="296" spans="1:12" x14ac:dyDescent="0.3">
      <c r="A296" s="3" t="s">
        <v>1409</v>
      </c>
      <c r="B296" s="3" t="s">
        <v>1408</v>
      </c>
      <c r="C296" s="3" t="s">
        <v>17</v>
      </c>
      <c r="D296" s="7">
        <v>0.73</v>
      </c>
      <c r="E296" s="5">
        <v>89</v>
      </c>
      <c r="F296" s="5">
        <v>72</v>
      </c>
      <c r="G296" s="5">
        <v>93</v>
      </c>
      <c r="H296" s="5">
        <v>41</v>
      </c>
      <c r="I296" s="6">
        <f t="shared" si="12"/>
        <v>-52</v>
      </c>
      <c r="J296">
        <f t="shared" si="13"/>
        <v>71.650000000000006</v>
      </c>
      <c r="K296" s="4" t="str">
        <f t="shared" si="14"/>
        <v>C</v>
      </c>
      <c r="L296">
        <f>IF(Helper!$E$3="All",1,IF(C296=Helper!$E$3,1,0))</f>
        <v>1</v>
      </c>
    </row>
    <row r="297" spans="1:12" x14ac:dyDescent="0.3">
      <c r="A297" s="3" t="s">
        <v>1407</v>
      </c>
      <c r="B297" s="3" t="s">
        <v>1406</v>
      </c>
      <c r="C297" s="3" t="s">
        <v>3</v>
      </c>
      <c r="D297" s="7">
        <v>0.89</v>
      </c>
      <c r="E297" s="5">
        <v>68</v>
      </c>
      <c r="F297" s="5">
        <v>57</v>
      </c>
      <c r="G297" s="5">
        <v>50</v>
      </c>
      <c r="H297" s="5">
        <v>95</v>
      </c>
      <c r="I297" s="6">
        <f t="shared" si="12"/>
        <v>45</v>
      </c>
      <c r="J297">
        <f t="shared" si="13"/>
        <v>74.25</v>
      </c>
      <c r="K297" s="4" t="str">
        <f t="shared" si="14"/>
        <v>C</v>
      </c>
      <c r="L297">
        <f>IF(Helper!$E$3="All",1,IF(C297=Helper!$E$3,1,0))</f>
        <v>1</v>
      </c>
    </row>
    <row r="298" spans="1:12" x14ac:dyDescent="0.3">
      <c r="A298" s="3" t="s">
        <v>1405</v>
      </c>
      <c r="B298" s="3" t="s">
        <v>1404</v>
      </c>
      <c r="C298" s="3" t="s">
        <v>17</v>
      </c>
      <c r="D298" s="7">
        <v>0.94000000000000006</v>
      </c>
      <c r="E298" s="5">
        <v>96</v>
      </c>
      <c r="F298" s="5">
        <v>91</v>
      </c>
      <c r="G298" s="5">
        <v>78</v>
      </c>
      <c r="H298" s="5">
        <v>61</v>
      </c>
      <c r="I298" s="6" t="str">
        <f t="shared" si="12"/>
        <v/>
      </c>
      <c r="J298">
        <f t="shared" si="13"/>
        <v>74.95</v>
      </c>
      <c r="K298" s="4" t="str">
        <f t="shared" si="14"/>
        <v>C</v>
      </c>
      <c r="L298">
        <f>IF(Helper!$E$3="All",1,IF(C298=Helper!$E$3,1,0))</f>
        <v>1</v>
      </c>
    </row>
    <row r="299" spans="1:12" x14ac:dyDescent="0.3">
      <c r="A299" s="3" t="s">
        <v>1403</v>
      </c>
      <c r="B299" s="3" t="s">
        <v>1402</v>
      </c>
      <c r="C299" s="3" t="s">
        <v>0</v>
      </c>
      <c r="D299" s="7">
        <v>0.8</v>
      </c>
      <c r="E299" s="5">
        <v>78</v>
      </c>
      <c r="F299" s="5">
        <v>88</v>
      </c>
      <c r="G299" s="5">
        <v>67</v>
      </c>
      <c r="H299" s="5">
        <v>90</v>
      </c>
      <c r="I299" s="6">
        <f t="shared" si="12"/>
        <v>23</v>
      </c>
      <c r="J299">
        <f t="shared" si="13"/>
        <v>81.099999999999994</v>
      </c>
      <c r="K299" s="4" t="str">
        <f t="shared" si="14"/>
        <v>B</v>
      </c>
      <c r="L299">
        <f>IF(Helper!$E$3="All",1,IF(C299=Helper!$E$3,1,0))</f>
        <v>1</v>
      </c>
    </row>
    <row r="300" spans="1:12" x14ac:dyDescent="0.3">
      <c r="A300" s="3" t="s">
        <v>1401</v>
      </c>
      <c r="B300" s="3" t="s">
        <v>1400</v>
      </c>
      <c r="C300" s="3" t="s">
        <v>8</v>
      </c>
      <c r="D300" s="7">
        <v>0.96</v>
      </c>
      <c r="E300" s="5">
        <v>70</v>
      </c>
      <c r="F300" s="5">
        <v>98</v>
      </c>
      <c r="G300" s="5">
        <v>44</v>
      </c>
      <c r="H300" s="5">
        <v>96</v>
      </c>
      <c r="I300" s="6">
        <f t="shared" si="12"/>
        <v>52</v>
      </c>
      <c r="J300">
        <f t="shared" si="13"/>
        <v>74.400000000000006</v>
      </c>
      <c r="K300" s="4" t="str">
        <f t="shared" si="14"/>
        <v>C</v>
      </c>
      <c r="L300">
        <f>IF(Helper!$E$3="All",1,IF(C300=Helper!$E$3,1,0))</f>
        <v>1</v>
      </c>
    </row>
    <row r="301" spans="1:12" x14ac:dyDescent="0.3">
      <c r="A301" s="3" t="s">
        <v>1399</v>
      </c>
      <c r="B301" s="3" t="s">
        <v>1398</v>
      </c>
      <c r="C301" s="3" t="s">
        <v>3</v>
      </c>
      <c r="D301" s="7">
        <v>0.64</v>
      </c>
      <c r="E301" s="5">
        <v>95</v>
      </c>
      <c r="F301" s="5">
        <v>67</v>
      </c>
      <c r="G301" s="5">
        <v>56</v>
      </c>
      <c r="H301" s="5">
        <v>76</v>
      </c>
      <c r="I301" s="6">
        <f t="shared" si="12"/>
        <v>20</v>
      </c>
      <c r="J301">
        <f t="shared" si="13"/>
        <v>60.9</v>
      </c>
      <c r="K301" s="4" t="str">
        <f t="shared" si="14"/>
        <v>D</v>
      </c>
      <c r="L301">
        <f>IF(Helper!$E$3="All",1,IF(C301=Helper!$E$3,1,0))</f>
        <v>1</v>
      </c>
    </row>
    <row r="302" spans="1:12" x14ac:dyDescent="0.3">
      <c r="A302" s="3" t="s">
        <v>1397</v>
      </c>
      <c r="B302" s="3" t="s">
        <v>1396</v>
      </c>
      <c r="C302" s="3" t="s">
        <v>8</v>
      </c>
      <c r="D302" s="7">
        <v>0.78</v>
      </c>
      <c r="E302" s="5">
        <v>86</v>
      </c>
      <c r="F302" s="5">
        <v>98</v>
      </c>
      <c r="G302" s="5">
        <v>95</v>
      </c>
      <c r="H302" s="5">
        <v>47</v>
      </c>
      <c r="I302" s="6">
        <f t="shared" si="12"/>
        <v>-48</v>
      </c>
      <c r="J302">
        <f t="shared" si="13"/>
        <v>76</v>
      </c>
      <c r="K302" s="4" t="str">
        <f t="shared" si="14"/>
        <v>C</v>
      </c>
      <c r="L302">
        <f>IF(Helper!$E$3="All",1,IF(C302=Helper!$E$3,1,0))</f>
        <v>1</v>
      </c>
    </row>
    <row r="303" spans="1:12" x14ac:dyDescent="0.3">
      <c r="A303" s="3" t="s">
        <v>1395</v>
      </c>
      <c r="B303" s="3" t="s">
        <v>1394</v>
      </c>
      <c r="C303" s="3" t="s">
        <v>8</v>
      </c>
      <c r="D303" s="7">
        <v>0.73</v>
      </c>
      <c r="E303" s="5">
        <v>82</v>
      </c>
      <c r="F303" s="5">
        <v>86</v>
      </c>
      <c r="G303" s="5">
        <v>59</v>
      </c>
      <c r="H303" s="5">
        <v>46</v>
      </c>
      <c r="I303" s="6" t="str">
        <f t="shared" si="12"/>
        <v/>
      </c>
      <c r="J303">
        <f t="shared" si="13"/>
        <v>60.400000000000006</v>
      </c>
      <c r="K303" s="4" t="str">
        <f t="shared" si="14"/>
        <v>D</v>
      </c>
      <c r="L303">
        <f>IF(Helper!$E$3="All",1,IF(C303=Helper!$E$3,1,0))</f>
        <v>1</v>
      </c>
    </row>
    <row r="304" spans="1:12" x14ac:dyDescent="0.3">
      <c r="A304" s="3" t="s">
        <v>1393</v>
      </c>
      <c r="B304" s="3" t="s">
        <v>1392</v>
      </c>
      <c r="C304" s="3" t="s">
        <v>0</v>
      </c>
      <c r="D304" s="7">
        <v>0.85</v>
      </c>
      <c r="E304" s="5">
        <v>89</v>
      </c>
      <c r="F304" s="5">
        <v>50</v>
      </c>
      <c r="G304" s="5">
        <v>80</v>
      </c>
      <c r="H304" s="5">
        <v>53</v>
      </c>
      <c r="I304" s="6" t="str">
        <f t="shared" si="12"/>
        <v/>
      </c>
      <c r="J304">
        <f t="shared" si="13"/>
        <v>70.150000000000006</v>
      </c>
      <c r="K304" s="4" t="str">
        <f t="shared" si="14"/>
        <v>C</v>
      </c>
      <c r="L304">
        <f>IF(Helper!$E$3="All",1,IF(C304=Helper!$E$3,1,0))</f>
        <v>1</v>
      </c>
    </row>
    <row r="305" spans="1:12" x14ac:dyDescent="0.3">
      <c r="A305" s="3" t="s">
        <v>1391</v>
      </c>
      <c r="B305" s="3" t="s">
        <v>1390</v>
      </c>
      <c r="C305" s="3" t="s">
        <v>17</v>
      </c>
      <c r="D305" s="7">
        <v>0.63</v>
      </c>
      <c r="E305" s="5">
        <v>62</v>
      </c>
      <c r="F305" s="5">
        <v>96</v>
      </c>
      <c r="G305" s="5">
        <v>85</v>
      </c>
      <c r="H305" s="5">
        <v>95</v>
      </c>
      <c r="I305" s="6" t="str">
        <f t="shared" si="12"/>
        <v/>
      </c>
      <c r="J305">
        <f t="shared" si="13"/>
        <v>79.900000000000006</v>
      </c>
      <c r="K305" s="4" t="str">
        <f t="shared" si="14"/>
        <v>C</v>
      </c>
      <c r="L305">
        <f>IF(Helper!$E$3="All",1,IF(C305=Helper!$E$3,1,0))</f>
        <v>1</v>
      </c>
    </row>
    <row r="306" spans="1:12" x14ac:dyDescent="0.3">
      <c r="A306" s="3" t="s">
        <v>1389</v>
      </c>
      <c r="B306" s="3" t="s">
        <v>1388</v>
      </c>
      <c r="C306" s="3" t="s">
        <v>17</v>
      </c>
      <c r="D306" s="7">
        <v>0.84</v>
      </c>
      <c r="E306" s="5">
        <v>83</v>
      </c>
      <c r="F306" s="5">
        <v>99</v>
      </c>
      <c r="G306" s="5">
        <v>97</v>
      </c>
      <c r="H306" s="5">
        <v>94</v>
      </c>
      <c r="I306" s="6" t="str">
        <f t="shared" si="12"/>
        <v/>
      </c>
      <c r="J306">
        <f t="shared" si="13"/>
        <v>95.499999999999986</v>
      </c>
      <c r="K306" s="4" t="str">
        <f t="shared" si="14"/>
        <v>A</v>
      </c>
      <c r="L306">
        <f>IF(Helper!$E$3="All",1,IF(C306=Helper!$E$3,1,0))</f>
        <v>1</v>
      </c>
    </row>
    <row r="307" spans="1:12" x14ac:dyDescent="0.3">
      <c r="A307" s="3" t="s">
        <v>1387</v>
      </c>
      <c r="B307" s="3" t="s">
        <v>1386</v>
      </c>
      <c r="C307" s="3" t="s">
        <v>8</v>
      </c>
      <c r="D307" s="7">
        <v>0.84</v>
      </c>
      <c r="E307" s="5">
        <v>77</v>
      </c>
      <c r="F307" s="5">
        <v>93</v>
      </c>
      <c r="G307" s="5">
        <v>51</v>
      </c>
      <c r="H307" s="5">
        <v>42</v>
      </c>
      <c r="I307" s="6" t="str">
        <f t="shared" si="12"/>
        <v/>
      </c>
      <c r="J307">
        <f t="shared" si="13"/>
        <v>55.7</v>
      </c>
      <c r="K307" s="4" t="str">
        <f t="shared" si="14"/>
        <v>F</v>
      </c>
      <c r="L307">
        <f>IF(Helper!$E$3="All",1,IF(C307=Helper!$E$3,1,0))</f>
        <v>1</v>
      </c>
    </row>
    <row r="308" spans="1:12" x14ac:dyDescent="0.3">
      <c r="A308" s="3" t="s">
        <v>1385</v>
      </c>
      <c r="B308" s="3" t="s">
        <v>1384</v>
      </c>
      <c r="C308" s="3" t="s">
        <v>3</v>
      </c>
      <c r="D308" s="7">
        <v>0.77</v>
      </c>
      <c r="E308" s="5">
        <v>59</v>
      </c>
      <c r="F308" s="5">
        <v>84</v>
      </c>
      <c r="G308" s="5">
        <v>45</v>
      </c>
      <c r="H308" s="5">
        <v>89</v>
      </c>
      <c r="I308" s="6">
        <f t="shared" si="12"/>
        <v>44</v>
      </c>
      <c r="J308">
        <f t="shared" si="13"/>
        <v>70.75</v>
      </c>
      <c r="K308" s="4" t="str">
        <f t="shared" si="14"/>
        <v>C</v>
      </c>
      <c r="L308">
        <f>IF(Helper!$E$3="All",1,IF(C308=Helper!$E$3,1,0))</f>
        <v>1</v>
      </c>
    </row>
    <row r="309" spans="1:12" x14ac:dyDescent="0.3">
      <c r="A309" s="3" t="s">
        <v>1383</v>
      </c>
      <c r="B309" s="3" t="s">
        <v>1382</v>
      </c>
      <c r="C309" s="3" t="s">
        <v>17</v>
      </c>
      <c r="D309" s="7">
        <v>0.99</v>
      </c>
      <c r="E309" s="5">
        <v>62</v>
      </c>
      <c r="F309" s="5">
        <v>72</v>
      </c>
      <c r="G309" s="5">
        <v>56</v>
      </c>
      <c r="H309" s="5">
        <v>55</v>
      </c>
      <c r="I309" s="6" t="str">
        <f t="shared" si="12"/>
        <v/>
      </c>
      <c r="J309">
        <f t="shared" si="13"/>
        <v>61.1</v>
      </c>
      <c r="K309" s="4" t="str">
        <f t="shared" si="14"/>
        <v>D</v>
      </c>
      <c r="L309">
        <f>IF(Helper!$E$3="All",1,IF(C309=Helper!$E$3,1,0))</f>
        <v>1</v>
      </c>
    </row>
    <row r="310" spans="1:12" x14ac:dyDescent="0.3">
      <c r="A310" s="3" t="s">
        <v>1381</v>
      </c>
      <c r="B310" s="3" t="s">
        <v>1380</v>
      </c>
      <c r="C310" s="3" t="s">
        <v>3</v>
      </c>
      <c r="D310" s="7">
        <v>0.67</v>
      </c>
      <c r="E310" s="5">
        <v>84</v>
      </c>
      <c r="F310" s="5">
        <v>56</v>
      </c>
      <c r="G310" s="5">
        <v>90</v>
      </c>
      <c r="H310" s="5">
        <v>94</v>
      </c>
      <c r="I310" s="6" t="str">
        <f t="shared" si="12"/>
        <v/>
      </c>
      <c r="J310">
        <f t="shared" si="13"/>
        <v>80.599999999999994</v>
      </c>
      <c r="K310" s="4" t="str">
        <f t="shared" si="14"/>
        <v>B</v>
      </c>
      <c r="L310">
        <f>IF(Helper!$E$3="All",1,IF(C310=Helper!$E$3,1,0))</f>
        <v>1</v>
      </c>
    </row>
    <row r="311" spans="1:12" x14ac:dyDescent="0.3">
      <c r="A311" s="3" t="s">
        <v>1379</v>
      </c>
      <c r="B311" s="3" t="s">
        <v>1378</v>
      </c>
      <c r="C311" s="3" t="s">
        <v>17</v>
      </c>
      <c r="D311" s="7">
        <v>0.98</v>
      </c>
      <c r="E311" s="5">
        <v>91</v>
      </c>
      <c r="F311" s="5">
        <v>45</v>
      </c>
      <c r="G311" s="5">
        <v>58</v>
      </c>
      <c r="H311" s="5">
        <v>58</v>
      </c>
      <c r="I311" s="6" t="str">
        <f t="shared" si="12"/>
        <v/>
      </c>
      <c r="J311">
        <f t="shared" si="13"/>
        <v>63.2</v>
      </c>
      <c r="K311" s="4" t="str">
        <f t="shared" si="14"/>
        <v>D</v>
      </c>
      <c r="L311">
        <f>IF(Helper!$E$3="All",1,IF(C311=Helper!$E$3,1,0))</f>
        <v>1</v>
      </c>
    </row>
    <row r="312" spans="1:12" x14ac:dyDescent="0.3">
      <c r="A312" s="3" t="s">
        <v>1377</v>
      </c>
      <c r="B312" s="3" t="s">
        <v>1376</v>
      </c>
      <c r="C312" s="3" t="s">
        <v>3</v>
      </c>
      <c r="D312" s="7">
        <v>0.99</v>
      </c>
      <c r="E312" s="5">
        <v>55</v>
      </c>
      <c r="F312" s="5">
        <v>43</v>
      </c>
      <c r="G312" s="5">
        <v>65</v>
      </c>
      <c r="H312" s="5">
        <v>90</v>
      </c>
      <c r="I312" s="6">
        <f t="shared" si="12"/>
        <v>25</v>
      </c>
      <c r="J312">
        <f t="shared" si="13"/>
        <v>76.900000000000006</v>
      </c>
      <c r="K312" s="4" t="str">
        <f t="shared" si="14"/>
        <v>C</v>
      </c>
      <c r="L312">
        <f>IF(Helper!$E$3="All",1,IF(C312=Helper!$E$3,1,0))</f>
        <v>1</v>
      </c>
    </row>
    <row r="313" spans="1:12" x14ac:dyDescent="0.3">
      <c r="A313" s="3" t="s">
        <v>1375</v>
      </c>
      <c r="B313" s="3" t="s">
        <v>1374</v>
      </c>
      <c r="C313" s="3" t="s">
        <v>0</v>
      </c>
      <c r="D313" s="7">
        <v>0.73</v>
      </c>
      <c r="E313" s="5">
        <v>89</v>
      </c>
      <c r="F313" s="5">
        <v>59</v>
      </c>
      <c r="G313" s="5">
        <v>87</v>
      </c>
      <c r="H313" s="5">
        <v>57</v>
      </c>
      <c r="I313" s="6" t="str">
        <f t="shared" si="12"/>
        <v/>
      </c>
      <c r="J313">
        <f t="shared" si="13"/>
        <v>75</v>
      </c>
      <c r="K313" s="4" t="str">
        <f t="shared" si="14"/>
        <v>C</v>
      </c>
      <c r="L313">
        <f>IF(Helper!$E$3="All",1,IF(C313=Helper!$E$3,1,0))</f>
        <v>1</v>
      </c>
    </row>
    <row r="314" spans="1:12" x14ac:dyDescent="0.3">
      <c r="A314" s="3" t="s">
        <v>1373</v>
      </c>
      <c r="B314" s="3" t="s">
        <v>1372</v>
      </c>
      <c r="C314" s="3" t="s">
        <v>3</v>
      </c>
      <c r="D314" s="7">
        <v>0.91</v>
      </c>
      <c r="E314" s="5">
        <v>81</v>
      </c>
      <c r="F314" s="5">
        <v>87</v>
      </c>
      <c r="G314" s="5">
        <v>83</v>
      </c>
      <c r="H314" s="5">
        <v>91</v>
      </c>
      <c r="I314" s="6" t="str">
        <f t="shared" si="12"/>
        <v/>
      </c>
      <c r="J314">
        <f t="shared" si="13"/>
        <v>88</v>
      </c>
      <c r="K314" s="4" t="str">
        <f t="shared" si="14"/>
        <v>B</v>
      </c>
      <c r="L314">
        <f>IF(Helper!$E$3="All",1,IF(C314=Helper!$E$3,1,0))</f>
        <v>1</v>
      </c>
    </row>
    <row r="315" spans="1:12" x14ac:dyDescent="0.3">
      <c r="A315" s="3" t="s">
        <v>1371</v>
      </c>
      <c r="B315" s="3" t="s">
        <v>1370</v>
      </c>
      <c r="C315" s="3" t="s">
        <v>0</v>
      </c>
      <c r="D315" s="7">
        <v>0.97</v>
      </c>
      <c r="E315" s="5">
        <v>99</v>
      </c>
      <c r="F315" s="5">
        <v>86</v>
      </c>
      <c r="G315" s="5">
        <v>83</v>
      </c>
      <c r="H315" s="5">
        <v>55</v>
      </c>
      <c r="I315" s="6" t="str">
        <f t="shared" si="12"/>
        <v/>
      </c>
      <c r="J315">
        <f t="shared" si="13"/>
        <v>74.449999999999989</v>
      </c>
      <c r="K315" s="4" t="str">
        <f t="shared" si="14"/>
        <v>C</v>
      </c>
      <c r="L315">
        <f>IF(Helper!$E$3="All",1,IF(C315=Helper!$E$3,1,0))</f>
        <v>1</v>
      </c>
    </row>
    <row r="316" spans="1:12" x14ac:dyDescent="0.3">
      <c r="A316" s="3" t="s">
        <v>1369</v>
      </c>
      <c r="B316" s="3" t="s">
        <v>1368</v>
      </c>
      <c r="C316" s="3" t="s">
        <v>0</v>
      </c>
      <c r="D316" s="7">
        <v>0.92</v>
      </c>
      <c r="E316" s="5">
        <v>94</v>
      </c>
      <c r="F316" s="5">
        <v>66</v>
      </c>
      <c r="G316" s="5">
        <v>91</v>
      </c>
      <c r="H316" s="5">
        <v>47</v>
      </c>
      <c r="I316" s="6">
        <f t="shared" si="12"/>
        <v>-44</v>
      </c>
      <c r="J316">
        <f t="shared" si="13"/>
        <v>73.199999999999989</v>
      </c>
      <c r="K316" s="4" t="str">
        <f t="shared" si="14"/>
        <v>C</v>
      </c>
      <c r="L316">
        <f>IF(Helper!$E$3="All",1,IF(C316=Helper!$E$3,1,0))</f>
        <v>1</v>
      </c>
    </row>
    <row r="317" spans="1:12" x14ac:dyDescent="0.3">
      <c r="A317" s="3" t="s">
        <v>1367</v>
      </c>
      <c r="B317" s="3" t="s">
        <v>1366</v>
      </c>
      <c r="C317" s="3" t="s">
        <v>3</v>
      </c>
      <c r="D317" s="7">
        <v>0.82000000000000006</v>
      </c>
      <c r="E317" s="5">
        <v>47</v>
      </c>
      <c r="F317" s="5">
        <v>54</v>
      </c>
      <c r="G317" s="5">
        <v>71</v>
      </c>
      <c r="H317" s="5">
        <v>99</v>
      </c>
      <c r="I317" s="6">
        <f t="shared" si="12"/>
        <v>28</v>
      </c>
      <c r="J317">
        <f t="shared" si="13"/>
        <v>83.050000000000011</v>
      </c>
      <c r="K317" s="4" t="str">
        <f t="shared" si="14"/>
        <v>B</v>
      </c>
      <c r="L317">
        <f>IF(Helper!$E$3="All",1,IF(C317=Helper!$E$3,1,0))</f>
        <v>1</v>
      </c>
    </row>
    <row r="318" spans="1:12" x14ac:dyDescent="0.3">
      <c r="A318" s="3" t="s">
        <v>1365</v>
      </c>
      <c r="B318" s="3" t="s">
        <v>1364</v>
      </c>
      <c r="C318" s="3" t="s">
        <v>0</v>
      </c>
      <c r="D318" s="7">
        <v>0.74</v>
      </c>
      <c r="E318" s="5">
        <v>89</v>
      </c>
      <c r="F318" s="5">
        <v>45</v>
      </c>
      <c r="G318" s="5">
        <v>45</v>
      </c>
      <c r="H318" s="5">
        <v>72</v>
      </c>
      <c r="I318" s="6">
        <f t="shared" si="12"/>
        <v>27</v>
      </c>
      <c r="J318">
        <f t="shared" si="13"/>
        <v>63.5</v>
      </c>
      <c r="K318" s="4" t="str">
        <f t="shared" si="14"/>
        <v>D</v>
      </c>
      <c r="L318">
        <f>IF(Helper!$E$3="All",1,IF(C318=Helper!$E$3,1,0))</f>
        <v>1</v>
      </c>
    </row>
    <row r="319" spans="1:12" x14ac:dyDescent="0.3">
      <c r="A319" s="3" t="s">
        <v>1363</v>
      </c>
      <c r="B319" s="3" t="s">
        <v>1362</v>
      </c>
      <c r="C319" s="3" t="s">
        <v>8</v>
      </c>
      <c r="D319" s="7">
        <v>0.92</v>
      </c>
      <c r="E319" s="5">
        <v>60</v>
      </c>
      <c r="F319" s="5">
        <v>86</v>
      </c>
      <c r="G319" s="5">
        <v>94</v>
      </c>
      <c r="H319" s="5">
        <v>88</v>
      </c>
      <c r="I319" s="6" t="str">
        <f t="shared" si="12"/>
        <v/>
      </c>
      <c r="J319">
        <f t="shared" si="13"/>
        <v>90.1</v>
      </c>
      <c r="K319" s="4" t="str">
        <f t="shared" si="14"/>
        <v>A</v>
      </c>
      <c r="L319">
        <f>IF(Helper!$E$3="All",1,IF(C319=Helper!$E$3,1,0))</f>
        <v>1</v>
      </c>
    </row>
    <row r="320" spans="1:12" x14ac:dyDescent="0.3">
      <c r="A320" s="3" t="s">
        <v>1361</v>
      </c>
      <c r="B320" s="3" t="s">
        <v>1360</v>
      </c>
      <c r="C320" s="3" t="s">
        <v>0</v>
      </c>
      <c r="D320" s="7">
        <v>0.84</v>
      </c>
      <c r="E320" s="5">
        <v>40</v>
      </c>
      <c r="F320" s="5">
        <v>53</v>
      </c>
      <c r="G320" s="5">
        <v>97</v>
      </c>
      <c r="H320" s="5">
        <v>51</v>
      </c>
      <c r="I320" s="6">
        <f t="shared" si="12"/>
        <v>-46</v>
      </c>
      <c r="J320">
        <f t="shared" si="13"/>
        <v>73.849999999999994</v>
      </c>
      <c r="K320" s="4" t="str">
        <f t="shared" si="14"/>
        <v>C</v>
      </c>
      <c r="L320">
        <f>IF(Helper!$E$3="All",1,IF(C320=Helper!$E$3,1,0))</f>
        <v>1</v>
      </c>
    </row>
    <row r="321" spans="1:12" x14ac:dyDescent="0.3">
      <c r="A321" s="3" t="s">
        <v>1359</v>
      </c>
      <c r="B321" s="3" t="s">
        <v>1358</v>
      </c>
      <c r="C321" s="3" t="s">
        <v>17</v>
      </c>
      <c r="D321" s="7">
        <v>0.76</v>
      </c>
      <c r="E321" s="5">
        <v>94</v>
      </c>
      <c r="F321" s="5">
        <v>99</v>
      </c>
      <c r="G321" s="5">
        <v>75</v>
      </c>
      <c r="H321" s="5">
        <v>92</v>
      </c>
      <c r="I321" s="6">
        <f t="shared" si="12"/>
        <v>17</v>
      </c>
      <c r="J321">
        <f t="shared" si="13"/>
        <v>86.45</v>
      </c>
      <c r="K321" s="4" t="str">
        <f t="shared" si="14"/>
        <v>B</v>
      </c>
      <c r="L321">
        <f>IF(Helper!$E$3="All",1,IF(C321=Helper!$E$3,1,0))</f>
        <v>1</v>
      </c>
    </row>
    <row r="322" spans="1:12" x14ac:dyDescent="0.3">
      <c r="A322" s="3" t="s">
        <v>1357</v>
      </c>
      <c r="B322" s="3" t="s">
        <v>1356</v>
      </c>
      <c r="C322" s="3" t="s">
        <v>3</v>
      </c>
      <c r="D322" s="7">
        <v>0.92</v>
      </c>
      <c r="E322" s="5">
        <v>47</v>
      </c>
      <c r="F322" s="5">
        <v>50</v>
      </c>
      <c r="G322" s="5">
        <v>77</v>
      </c>
      <c r="H322" s="5">
        <v>50</v>
      </c>
      <c r="I322" s="6">
        <f t="shared" ref="I322:I385" si="15">IF(H322&gt;G322*1.15,H322-G322,IF(H322&lt;G322*0.65,H322-G322,""))</f>
        <v>-27</v>
      </c>
      <c r="J322">
        <f t="shared" ref="J322:J385" si="16">IF(ISBLANK(D322),"",IF(D322&gt;0.7,10,0)+(E322/100*5)+(F322/100*5)+(G322/100*40)+(H322/100*40))</f>
        <v>65.650000000000006</v>
      </c>
      <c r="K322" s="4" t="str">
        <f t="shared" ref="K322:K385" si="17">IF(J322&gt;=90,"A",IF(J322&gt;=80,"B",IF(J322&gt;=70,"C",IF(J322&gt;=60,"D","F"))))</f>
        <v>D</v>
      </c>
      <c r="L322">
        <f>IF(Helper!$E$3="All",1,IF(C322=Helper!$E$3,1,0))</f>
        <v>1</v>
      </c>
    </row>
    <row r="323" spans="1:12" x14ac:dyDescent="0.3">
      <c r="A323" s="3" t="s">
        <v>1355</v>
      </c>
      <c r="B323" s="3" t="s">
        <v>1354</v>
      </c>
      <c r="C323" s="3" t="s">
        <v>8</v>
      </c>
      <c r="D323" s="7">
        <v>0.61</v>
      </c>
      <c r="E323" s="5">
        <v>68</v>
      </c>
      <c r="F323" s="5">
        <v>78</v>
      </c>
      <c r="G323" s="5">
        <v>50</v>
      </c>
      <c r="H323" s="5">
        <v>44</v>
      </c>
      <c r="I323" s="6" t="str">
        <f t="shared" si="15"/>
        <v/>
      </c>
      <c r="J323">
        <f t="shared" si="16"/>
        <v>44.900000000000006</v>
      </c>
      <c r="K323" s="4" t="str">
        <f t="shared" si="17"/>
        <v>F</v>
      </c>
      <c r="L323">
        <f>IF(Helper!$E$3="All",1,IF(C323=Helper!$E$3,1,0))</f>
        <v>1</v>
      </c>
    </row>
    <row r="324" spans="1:12" x14ac:dyDescent="0.3">
      <c r="A324" s="3" t="s">
        <v>1353</v>
      </c>
      <c r="B324" s="3" t="s">
        <v>1352</v>
      </c>
      <c r="C324" s="3" t="s">
        <v>3</v>
      </c>
      <c r="D324" s="7">
        <v>0.73</v>
      </c>
      <c r="E324" s="5">
        <v>71</v>
      </c>
      <c r="F324" s="5">
        <v>48</v>
      </c>
      <c r="G324" s="5">
        <v>72</v>
      </c>
      <c r="H324" s="5">
        <v>66</v>
      </c>
      <c r="I324" s="6" t="str">
        <f t="shared" si="15"/>
        <v/>
      </c>
      <c r="J324">
        <f t="shared" si="16"/>
        <v>71.150000000000006</v>
      </c>
      <c r="K324" s="4" t="str">
        <f t="shared" si="17"/>
        <v>C</v>
      </c>
      <c r="L324">
        <f>IF(Helper!$E$3="All",1,IF(C324=Helper!$E$3,1,0))</f>
        <v>1</v>
      </c>
    </row>
    <row r="325" spans="1:12" x14ac:dyDescent="0.3">
      <c r="A325" s="3" t="s">
        <v>1351</v>
      </c>
      <c r="B325" s="3" t="s">
        <v>1350</v>
      </c>
      <c r="C325" s="3" t="s">
        <v>17</v>
      </c>
      <c r="D325" s="7">
        <v>0.99</v>
      </c>
      <c r="E325" s="5">
        <v>77</v>
      </c>
      <c r="F325" s="5">
        <v>65</v>
      </c>
      <c r="G325" s="5">
        <v>63</v>
      </c>
      <c r="H325" s="5">
        <v>51</v>
      </c>
      <c r="I325" s="6" t="str">
        <f t="shared" si="15"/>
        <v/>
      </c>
      <c r="J325">
        <f t="shared" si="16"/>
        <v>62.699999999999996</v>
      </c>
      <c r="K325" s="4" t="str">
        <f t="shared" si="17"/>
        <v>D</v>
      </c>
      <c r="L325">
        <f>IF(Helper!$E$3="All",1,IF(C325=Helper!$E$3,1,0))</f>
        <v>1</v>
      </c>
    </row>
    <row r="326" spans="1:12" x14ac:dyDescent="0.3">
      <c r="A326" s="3" t="s">
        <v>1349</v>
      </c>
      <c r="B326" s="3" t="s">
        <v>1348</v>
      </c>
      <c r="C326" s="3" t="s">
        <v>17</v>
      </c>
      <c r="D326" s="7">
        <v>0.99</v>
      </c>
      <c r="E326" s="5">
        <v>44</v>
      </c>
      <c r="F326" s="5">
        <v>55</v>
      </c>
      <c r="G326" s="5">
        <v>62</v>
      </c>
      <c r="H326" s="5">
        <v>56</v>
      </c>
      <c r="I326" s="6" t="str">
        <f t="shared" si="15"/>
        <v/>
      </c>
      <c r="J326">
        <f t="shared" si="16"/>
        <v>62.150000000000006</v>
      </c>
      <c r="K326" s="4" t="str">
        <f t="shared" si="17"/>
        <v>D</v>
      </c>
      <c r="L326">
        <f>IF(Helper!$E$3="All",1,IF(C326=Helper!$E$3,1,0))</f>
        <v>1</v>
      </c>
    </row>
    <row r="327" spans="1:12" x14ac:dyDescent="0.3">
      <c r="A327" s="3" t="s">
        <v>1347</v>
      </c>
      <c r="B327" s="3" t="s">
        <v>1346</v>
      </c>
      <c r="C327" s="3" t="s">
        <v>17</v>
      </c>
      <c r="D327" s="7">
        <v>0.98</v>
      </c>
      <c r="E327" s="5">
        <v>86</v>
      </c>
      <c r="F327" s="5">
        <v>44</v>
      </c>
      <c r="G327" s="5">
        <v>54</v>
      </c>
      <c r="H327" s="5">
        <v>45</v>
      </c>
      <c r="I327" s="6" t="str">
        <f t="shared" si="15"/>
        <v/>
      </c>
      <c r="J327">
        <f t="shared" si="16"/>
        <v>56.1</v>
      </c>
      <c r="K327" s="4" t="str">
        <f t="shared" si="17"/>
        <v>F</v>
      </c>
      <c r="L327">
        <f>IF(Helper!$E$3="All",1,IF(C327=Helper!$E$3,1,0))</f>
        <v>1</v>
      </c>
    </row>
    <row r="328" spans="1:12" x14ac:dyDescent="0.3">
      <c r="A328" s="3" t="s">
        <v>1345</v>
      </c>
      <c r="B328" s="3" t="s">
        <v>1344</v>
      </c>
      <c r="C328" s="3" t="s">
        <v>0</v>
      </c>
      <c r="D328" s="7">
        <v>0.65</v>
      </c>
      <c r="E328" s="5">
        <v>61</v>
      </c>
      <c r="F328" s="5">
        <v>96</v>
      </c>
      <c r="G328" s="5">
        <v>66</v>
      </c>
      <c r="H328" s="5">
        <v>72</v>
      </c>
      <c r="I328" s="6" t="str">
        <f t="shared" si="15"/>
        <v/>
      </c>
      <c r="J328">
        <f t="shared" si="16"/>
        <v>63.05</v>
      </c>
      <c r="K328" s="4" t="str">
        <f t="shared" si="17"/>
        <v>D</v>
      </c>
      <c r="L328">
        <f>IF(Helper!$E$3="All",1,IF(C328=Helper!$E$3,1,0))</f>
        <v>1</v>
      </c>
    </row>
    <row r="329" spans="1:12" x14ac:dyDescent="0.3">
      <c r="A329" s="3" t="s">
        <v>1343</v>
      </c>
      <c r="B329" s="3" t="s">
        <v>1342</v>
      </c>
      <c r="C329" s="3" t="s">
        <v>0</v>
      </c>
      <c r="D329" s="7">
        <v>0.65</v>
      </c>
      <c r="E329" s="5">
        <v>86</v>
      </c>
      <c r="F329" s="5">
        <v>91</v>
      </c>
      <c r="G329" s="5">
        <v>50</v>
      </c>
      <c r="H329" s="5">
        <v>44</v>
      </c>
      <c r="I329" s="6" t="str">
        <f t="shared" si="15"/>
        <v/>
      </c>
      <c r="J329">
        <f t="shared" si="16"/>
        <v>46.45</v>
      </c>
      <c r="K329" s="4" t="str">
        <f t="shared" si="17"/>
        <v>F</v>
      </c>
      <c r="L329">
        <f>IF(Helper!$E$3="All",1,IF(C329=Helper!$E$3,1,0))</f>
        <v>1</v>
      </c>
    </row>
    <row r="330" spans="1:12" x14ac:dyDescent="0.3">
      <c r="A330" s="3" t="s">
        <v>1341</v>
      </c>
      <c r="B330" s="3" t="s">
        <v>856</v>
      </c>
      <c r="C330" s="3" t="s">
        <v>3</v>
      </c>
      <c r="D330" s="7">
        <v>0.62</v>
      </c>
      <c r="E330" s="5">
        <v>73</v>
      </c>
      <c r="F330" s="5">
        <v>100</v>
      </c>
      <c r="G330" s="5">
        <v>96</v>
      </c>
      <c r="H330" s="5">
        <v>96</v>
      </c>
      <c r="I330" s="6" t="str">
        <f t="shared" si="15"/>
        <v/>
      </c>
      <c r="J330">
        <f t="shared" si="16"/>
        <v>85.449999999999989</v>
      </c>
      <c r="K330" s="4" t="str">
        <f t="shared" si="17"/>
        <v>B</v>
      </c>
      <c r="L330">
        <f>IF(Helper!$E$3="All",1,IF(C330=Helper!$E$3,1,0))</f>
        <v>1</v>
      </c>
    </row>
    <row r="331" spans="1:12" x14ac:dyDescent="0.3">
      <c r="A331" s="3" t="s">
        <v>1340</v>
      </c>
      <c r="B331" s="3" t="s">
        <v>1339</v>
      </c>
      <c r="C331" s="3" t="s">
        <v>3</v>
      </c>
      <c r="D331" s="7">
        <v>0.66</v>
      </c>
      <c r="E331" s="5">
        <v>40</v>
      </c>
      <c r="F331" s="5">
        <v>49</v>
      </c>
      <c r="G331" s="5">
        <v>90</v>
      </c>
      <c r="H331" s="5">
        <v>67</v>
      </c>
      <c r="I331" s="6" t="str">
        <f t="shared" si="15"/>
        <v/>
      </c>
      <c r="J331">
        <f t="shared" si="16"/>
        <v>67.25</v>
      </c>
      <c r="K331" s="4" t="str">
        <f t="shared" si="17"/>
        <v>D</v>
      </c>
      <c r="L331">
        <f>IF(Helper!$E$3="All",1,IF(C331=Helper!$E$3,1,0))</f>
        <v>1</v>
      </c>
    </row>
    <row r="332" spans="1:12" x14ac:dyDescent="0.3">
      <c r="A332" s="3" t="s">
        <v>1338</v>
      </c>
      <c r="B332" s="3" t="s">
        <v>1337</v>
      </c>
      <c r="C332" s="3" t="s">
        <v>8</v>
      </c>
      <c r="D332" s="7">
        <v>0.67</v>
      </c>
      <c r="E332" s="5">
        <v>94</v>
      </c>
      <c r="F332" s="5">
        <v>89</v>
      </c>
      <c r="G332" s="5">
        <v>89</v>
      </c>
      <c r="H332" s="5">
        <v>53</v>
      </c>
      <c r="I332" s="6">
        <f t="shared" si="15"/>
        <v>-36</v>
      </c>
      <c r="J332">
        <f t="shared" si="16"/>
        <v>65.95</v>
      </c>
      <c r="K332" s="4" t="str">
        <f t="shared" si="17"/>
        <v>D</v>
      </c>
      <c r="L332">
        <f>IF(Helper!$E$3="All",1,IF(C332=Helper!$E$3,1,0))</f>
        <v>1</v>
      </c>
    </row>
    <row r="333" spans="1:12" x14ac:dyDescent="0.3">
      <c r="A333" s="3" t="s">
        <v>1336</v>
      </c>
      <c r="B333" s="3" t="s">
        <v>1335</v>
      </c>
      <c r="C333" s="3" t="s">
        <v>8</v>
      </c>
      <c r="D333" s="7">
        <v>0.74</v>
      </c>
      <c r="E333" s="5">
        <v>94</v>
      </c>
      <c r="F333" s="5">
        <v>42</v>
      </c>
      <c r="G333" s="5">
        <v>56</v>
      </c>
      <c r="H333" s="5">
        <v>44</v>
      </c>
      <c r="I333" s="6" t="str">
        <f t="shared" si="15"/>
        <v/>
      </c>
      <c r="J333">
        <f t="shared" si="16"/>
        <v>56.800000000000004</v>
      </c>
      <c r="K333" s="4" t="str">
        <f t="shared" si="17"/>
        <v>F</v>
      </c>
      <c r="L333">
        <f>IF(Helper!$E$3="All",1,IF(C333=Helper!$E$3,1,0))</f>
        <v>1</v>
      </c>
    </row>
    <row r="334" spans="1:12" x14ac:dyDescent="0.3">
      <c r="A334" s="3" t="s">
        <v>1334</v>
      </c>
      <c r="B334" s="3" t="s">
        <v>1333</v>
      </c>
      <c r="C334" s="3" t="s">
        <v>3</v>
      </c>
      <c r="D334" s="7">
        <v>0.88</v>
      </c>
      <c r="E334" s="5">
        <v>65</v>
      </c>
      <c r="F334" s="5">
        <v>52</v>
      </c>
      <c r="G334" s="5">
        <v>90</v>
      </c>
      <c r="H334" s="5">
        <v>93</v>
      </c>
      <c r="I334" s="6" t="str">
        <f t="shared" si="15"/>
        <v/>
      </c>
      <c r="J334">
        <f t="shared" si="16"/>
        <v>89.050000000000011</v>
      </c>
      <c r="K334" s="4" t="str">
        <f t="shared" si="17"/>
        <v>B</v>
      </c>
      <c r="L334">
        <f>IF(Helper!$E$3="All",1,IF(C334=Helper!$E$3,1,0))</f>
        <v>1</v>
      </c>
    </row>
    <row r="335" spans="1:12" x14ac:dyDescent="0.3">
      <c r="A335" s="3" t="s">
        <v>1332</v>
      </c>
      <c r="B335" s="3" t="s">
        <v>1331</v>
      </c>
      <c r="C335" s="3" t="s">
        <v>0</v>
      </c>
      <c r="D335" s="7">
        <v>0.92</v>
      </c>
      <c r="E335" s="5">
        <v>82</v>
      </c>
      <c r="F335" s="5">
        <v>82</v>
      </c>
      <c r="G335" s="5">
        <v>92</v>
      </c>
      <c r="H335" s="5">
        <v>95</v>
      </c>
      <c r="I335" s="6" t="str">
        <f t="shared" si="15"/>
        <v/>
      </c>
      <c r="J335">
        <f t="shared" si="16"/>
        <v>93</v>
      </c>
      <c r="K335" s="4" t="str">
        <f t="shared" si="17"/>
        <v>A</v>
      </c>
      <c r="L335">
        <f>IF(Helper!$E$3="All",1,IF(C335=Helper!$E$3,1,0))</f>
        <v>1</v>
      </c>
    </row>
    <row r="336" spans="1:12" x14ac:dyDescent="0.3">
      <c r="A336" s="3" t="s">
        <v>1330</v>
      </c>
      <c r="B336" s="3" t="s">
        <v>1329</v>
      </c>
      <c r="C336" s="3" t="s">
        <v>17</v>
      </c>
      <c r="D336" s="7">
        <v>0.89</v>
      </c>
      <c r="E336" s="5">
        <v>49</v>
      </c>
      <c r="F336" s="5">
        <v>88</v>
      </c>
      <c r="G336" s="5">
        <v>53</v>
      </c>
      <c r="H336" s="5">
        <v>98</v>
      </c>
      <c r="I336" s="6">
        <f t="shared" si="15"/>
        <v>45</v>
      </c>
      <c r="J336">
        <f t="shared" si="16"/>
        <v>77.25</v>
      </c>
      <c r="K336" s="4" t="str">
        <f t="shared" si="17"/>
        <v>C</v>
      </c>
      <c r="L336">
        <f>IF(Helper!$E$3="All",1,IF(C336=Helper!$E$3,1,0))</f>
        <v>1</v>
      </c>
    </row>
    <row r="337" spans="1:12" x14ac:dyDescent="0.3">
      <c r="A337" s="3" t="s">
        <v>1328</v>
      </c>
      <c r="B337" s="3" t="s">
        <v>1327</v>
      </c>
      <c r="C337" s="3" t="s">
        <v>3</v>
      </c>
      <c r="D337" s="7">
        <v>0.98</v>
      </c>
      <c r="E337" s="5">
        <v>69</v>
      </c>
      <c r="F337" s="5">
        <v>69</v>
      </c>
      <c r="G337" s="5">
        <v>66</v>
      </c>
      <c r="H337" s="5">
        <v>72</v>
      </c>
      <c r="I337" s="6" t="str">
        <f t="shared" si="15"/>
        <v/>
      </c>
      <c r="J337">
        <f t="shared" si="16"/>
        <v>72.099999999999994</v>
      </c>
      <c r="K337" s="4" t="str">
        <f t="shared" si="17"/>
        <v>C</v>
      </c>
      <c r="L337">
        <f>IF(Helper!$E$3="All",1,IF(C337=Helper!$E$3,1,0))</f>
        <v>1</v>
      </c>
    </row>
    <row r="338" spans="1:12" x14ac:dyDescent="0.3">
      <c r="A338" s="3" t="s">
        <v>1326</v>
      </c>
      <c r="B338" s="3" t="s">
        <v>1325</v>
      </c>
      <c r="C338" s="3" t="s">
        <v>8</v>
      </c>
      <c r="D338" s="7">
        <v>0.86</v>
      </c>
      <c r="E338" s="5">
        <v>89</v>
      </c>
      <c r="F338" s="5">
        <v>93</v>
      </c>
      <c r="G338" s="5">
        <v>57</v>
      </c>
      <c r="H338" s="5">
        <v>89</v>
      </c>
      <c r="I338" s="6">
        <f t="shared" si="15"/>
        <v>32</v>
      </c>
      <c r="J338">
        <f t="shared" si="16"/>
        <v>77.5</v>
      </c>
      <c r="K338" s="4" t="str">
        <f t="shared" si="17"/>
        <v>C</v>
      </c>
      <c r="L338">
        <f>IF(Helper!$E$3="All",1,IF(C338=Helper!$E$3,1,0))</f>
        <v>1</v>
      </c>
    </row>
    <row r="339" spans="1:12" x14ac:dyDescent="0.3">
      <c r="A339" s="3" t="s">
        <v>1324</v>
      </c>
      <c r="B339" s="3" t="s">
        <v>1323</v>
      </c>
      <c r="C339" s="3" t="s">
        <v>0</v>
      </c>
      <c r="D339" s="7">
        <v>0.95000000000000007</v>
      </c>
      <c r="E339" s="5">
        <v>57</v>
      </c>
      <c r="F339" s="5">
        <v>84</v>
      </c>
      <c r="G339" s="5">
        <v>67</v>
      </c>
      <c r="H339" s="5">
        <v>87</v>
      </c>
      <c r="I339" s="6">
        <f t="shared" si="15"/>
        <v>20</v>
      </c>
      <c r="J339">
        <f t="shared" si="16"/>
        <v>78.650000000000006</v>
      </c>
      <c r="K339" s="4" t="str">
        <f t="shared" si="17"/>
        <v>C</v>
      </c>
      <c r="L339">
        <f>IF(Helper!$E$3="All",1,IF(C339=Helper!$E$3,1,0))</f>
        <v>1</v>
      </c>
    </row>
    <row r="340" spans="1:12" x14ac:dyDescent="0.3">
      <c r="A340" s="3" t="s">
        <v>1322</v>
      </c>
      <c r="B340" s="3" t="s">
        <v>1321</v>
      </c>
      <c r="C340" s="3" t="s">
        <v>3</v>
      </c>
      <c r="D340" s="7">
        <v>0.88</v>
      </c>
      <c r="E340" s="5">
        <v>56</v>
      </c>
      <c r="F340" s="5">
        <v>45</v>
      </c>
      <c r="G340" s="5">
        <v>90</v>
      </c>
      <c r="H340" s="5">
        <v>80</v>
      </c>
      <c r="I340" s="6" t="str">
        <f t="shared" si="15"/>
        <v/>
      </c>
      <c r="J340">
        <f t="shared" si="16"/>
        <v>83.05</v>
      </c>
      <c r="K340" s="4" t="str">
        <f t="shared" si="17"/>
        <v>B</v>
      </c>
      <c r="L340">
        <f>IF(Helper!$E$3="All",1,IF(C340=Helper!$E$3,1,0))</f>
        <v>1</v>
      </c>
    </row>
    <row r="341" spans="1:12" x14ac:dyDescent="0.3">
      <c r="A341" s="3" t="s">
        <v>1320</v>
      </c>
      <c r="B341" s="3" t="s">
        <v>1319</v>
      </c>
      <c r="C341" s="3" t="s">
        <v>3</v>
      </c>
      <c r="D341" s="7">
        <v>0.97</v>
      </c>
      <c r="E341" s="5">
        <v>65</v>
      </c>
      <c r="F341" s="5">
        <v>56</v>
      </c>
      <c r="G341" s="5">
        <v>86</v>
      </c>
      <c r="H341" s="5">
        <v>58</v>
      </c>
      <c r="I341" s="6" t="str">
        <f t="shared" si="15"/>
        <v/>
      </c>
      <c r="J341">
        <f t="shared" si="16"/>
        <v>73.650000000000006</v>
      </c>
      <c r="K341" s="4" t="str">
        <f t="shared" si="17"/>
        <v>C</v>
      </c>
      <c r="L341">
        <f>IF(Helper!$E$3="All",1,IF(C341=Helper!$E$3,1,0))</f>
        <v>1</v>
      </c>
    </row>
    <row r="342" spans="1:12" x14ac:dyDescent="0.3">
      <c r="A342" s="3" t="s">
        <v>1318</v>
      </c>
      <c r="B342" s="3" t="s">
        <v>1317</v>
      </c>
      <c r="C342" s="3" t="s">
        <v>0</v>
      </c>
      <c r="D342" s="7">
        <v>0.92</v>
      </c>
      <c r="E342" s="5">
        <v>47</v>
      </c>
      <c r="F342" s="5">
        <v>98</v>
      </c>
      <c r="G342" s="5">
        <v>86</v>
      </c>
      <c r="H342" s="5">
        <v>61</v>
      </c>
      <c r="I342" s="6" t="str">
        <f t="shared" si="15"/>
        <v/>
      </c>
      <c r="J342">
        <f t="shared" si="16"/>
        <v>76.05</v>
      </c>
      <c r="K342" s="4" t="str">
        <f t="shared" si="17"/>
        <v>C</v>
      </c>
      <c r="L342">
        <f>IF(Helper!$E$3="All",1,IF(C342=Helper!$E$3,1,0))</f>
        <v>1</v>
      </c>
    </row>
    <row r="343" spans="1:12" x14ac:dyDescent="0.3">
      <c r="A343" s="3" t="s">
        <v>1316</v>
      </c>
      <c r="B343" s="3" t="s">
        <v>1315</v>
      </c>
      <c r="C343" s="3" t="s">
        <v>3</v>
      </c>
      <c r="D343" s="7">
        <v>0.96</v>
      </c>
      <c r="E343" s="5">
        <v>86</v>
      </c>
      <c r="F343" s="5">
        <v>84</v>
      </c>
      <c r="G343" s="5">
        <v>43</v>
      </c>
      <c r="H343" s="5">
        <v>44</v>
      </c>
      <c r="I343" s="6" t="str">
        <f t="shared" si="15"/>
        <v/>
      </c>
      <c r="J343">
        <f t="shared" si="16"/>
        <v>53.300000000000004</v>
      </c>
      <c r="K343" s="4" t="str">
        <f t="shared" si="17"/>
        <v>F</v>
      </c>
      <c r="L343">
        <f>IF(Helper!$E$3="All",1,IF(C343=Helper!$E$3,1,0))</f>
        <v>1</v>
      </c>
    </row>
    <row r="344" spans="1:12" x14ac:dyDescent="0.3">
      <c r="A344" s="3" t="s">
        <v>1314</v>
      </c>
      <c r="B344" s="3" t="s">
        <v>1313</v>
      </c>
      <c r="C344" s="3" t="s">
        <v>0</v>
      </c>
      <c r="D344" s="7">
        <v>0.86</v>
      </c>
      <c r="E344" s="5">
        <v>79</v>
      </c>
      <c r="F344" s="5">
        <v>90</v>
      </c>
      <c r="G344" s="5">
        <v>46</v>
      </c>
      <c r="H344" s="5">
        <v>98</v>
      </c>
      <c r="I344" s="6">
        <f t="shared" si="15"/>
        <v>52</v>
      </c>
      <c r="J344">
        <f t="shared" si="16"/>
        <v>76.050000000000011</v>
      </c>
      <c r="K344" s="4" t="str">
        <f t="shared" si="17"/>
        <v>C</v>
      </c>
      <c r="L344">
        <f>IF(Helper!$E$3="All",1,IF(C344=Helper!$E$3,1,0))</f>
        <v>1</v>
      </c>
    </row>
    <row r="345" spans="1:12" x14ac:dyDescent="0.3">
      <c r="A345" s="3" t="s">
        <v>1312</v>
      </c>
      <c r="B345" s="3" t="s">
        <v>1311</v>
      </c>
      <c r="C345" s="3" t="s">
        <v>17</v>
      </c>
      <c r="D345" s="7">
        <v>0.92</v>
      </c>
      <c r="E345" s="5">
        <v>88</v>
      </c>
      <c r="F345" s="5">
        <v>92</v>
      </c>
      <c r="G345" s="5">
        <v>84</v>
      </c>
      <c r="H345" s="5">
        <v>41</v>
      </c>
      <c r="I345" s="6">
        <f t="shared" si="15"/>
        <v>-43</v>
      </c>
      <c r="J345">
        <f t="shared" si="16"/>
        <v>69</v>
      </c>
      <c r="K345" s="4" t="str">
        <f t="shared" si="17"/>
        <v>D</v>
      </c>
      <c r="L345">
        <f>IF(Helper!$E$3="All",1,IF(C345=Helper!$E$3,1,0))</f>
        <v>1</v>
      </c>
    </row>
    <row r="346" spans="1:12" x14ac:dyDescent="0.3">
      <c r="A346" s="3" t="s">
        <v>1310</v>
      </c>
      <c r="B346" s="3" t="s">
        <v>1309</v>
      </c>
      <c r="C346" s="3" t="s">
        <v>0</v>
      </c>
      <c r="D346" s="7">
        <v>0.63</v>
      </c>
      <c r="E346" s="5">
        <v>51</v>
      </c>
      <c r="F346" s="5">
        <v>58</v>
      </c>
      <c r="G346" s="5">
        <v>74</v>
      </c>
      <c r="H346" s="5">
        <v>69</v>
      </c>
      <c r="I346" s="6" t="str">
        <f t="shared" si="15"/>
        <v/>
      </c>
      <c r="J346">
        <f t="shared" si="16"/>
        <v>62.649999999999991</v>
      </c>
      <c r="K346" s="4" t="str">
        <f t="shared" si="17"/>
        <v>D</v>
      </c>
      <c r="L346">
        <f>IF(Helper!$E$3="All",1,IF(C346=Helper!$E$3,1,0))</f>
        <v>1</v>
      </c>
    </row>
    <row r="347" spans="1:12" x14ac:dyDescent="0.3">
      <c r="A347" s="3" t="s">
        <v>1308</v>
      </c>
      <c r="B347" s="3" t="s">
        <v>1307</v>
      </c>
      <c r="C347" s="3" t="s">
        <v>0</v>
      </c>
      <c r="D347" s="7">
        <v>0.81</v>
      </c>
      <c r="E347" s="5">
        <v>66</v>
      </c>
      <c r="F347" s="5">
        <v>81</v>
      </c>
      <c r="G347" s="5">
        <v>87</v>
      </c>
      <c r="H347" s="5">
        <v>86</v>
      </c>
      <c r="I347" s="6" t="str">
        <f t="shared" si="15"/>
        <v/>
      </c>
      <c r="J347">
        <f t="shared" si="16"/>
        <v>86.55</v>
      </c>
      <c r="K347" s="4" t="str">
        <f t="shared" si="17"/>
        <v>B</v>
      </c>
      <c r="L347">
        <f>IF(Helper!$E$3="All",1,IF(C347=Helper!$E$3,1,0))</f>
        <v>1</v>
      </c>
    </row>
    <row r="348" spans="1:12" x14ac:dyDescent="0.3">
      <c r="A348" s="3" t="s">
        <v>1306</v>
      </c>
      <c r="B348" s="3" t="s">
        <v>1305</v>
      </c>
      <c r="C348" s="3" t="s">
        <v>0</v>
      </c>
      <c r="D348" s="7">
        <v>0.61</v>
      </c>
      <c r="E348" s="5">
        <v>47</v>
      </c>
      <c r="F348" s="5">
        <v>74</v>
      </c>
      <c r="G348" s="5">
        <v>48</v>
      </c>
      <c r="H348" s="5">
        <v>78</v>
      </c>
      <c r="I348" s="6">
        <f t="shared" si="15"/>
        <v>30</v>
      </c>
      <c r="J348">
        <f t="shared" si="16"/>
        <v>56.45</v>
      </c>
      <c r="K348" s="4" t="str">
        <f t="shared" si="17"/>
        <v>F</v>
      </c>
      <c r="L348">
        <f>IF(Helper!$E$3="All",1,IF(C348=Helper!$E$3,1,0))</f>
        <v>1</v>
      </c>
    </row>
    <row r="349" spans="1:12" x14ac:dyDescent="0.3">
      <c r="A349" s="3" t="s">
        <v>1304</v>
      </c>
      <c r="B349" s="3" t="s">
        <v>1303</v>
      </c>
      <c r="C349" s="3" t="s">
        <v>3</v>
      </c>
      <c r="D349" s="7">
        <v>0.69000000000000006</v>
      </c>
      <c r="E349" s="5">
        <v>64</v>
      </c>
      <c r="F349" s="5">
        <v>85</v>
      </c>
      <c r="G349" s="5">
        <v>47</v>
      </c>
      <c r="H349" s="5">
        <v>43</v>
      </c>
      <c r="I349" s="6" t="str">
        <f t="shared" si="15"/>
        <v/>
      </c>
      <c r="J349">
        <f t="shared" si="16"/>
        <v>43.449999999999996</v>
      </c>
      <c r="K349" s="4" t="str">
        <f t="shared" si="17"/>
        <v>F</v>
      </c>
      <c r="L349">
        <f>IF(Helper!$E$3="All",1,IF(C349=Helper!$E$3,1,0))</f>
        <v>1</v>
      </c>
    </row>
    <row r="350" spans="1:12" x14ac:dyDescent="0.3">
      <c r="A350" s="3" t="s">
        <v>1302</v>
      </c>
      <c r="B350" s="3" t="s">
        <v>1301</v>
      </c>
      <c r="C350" s="3" t="s">
        <v>3</v>
      </c>
      <c r="D350" s="7">
        <v>0.64</v>
      </c>
      <c r="E350" s="5">
        <v>85</v>
      </c>
      <c r="F350" s="5">
        <v>65</v>
      </c>
      <c r="G350" s="5">
        <v>91</v>
      </c>
      <c r="H350" s="5">
        <v>72</v>
      </c>
      <c r="I350" s="6" t="str">
        <f t="shared" si="15"/>
        <v/>
      </c>
      <c r="J350">
        <f t="shared" si="16"/>
        <v>72.699999999999989</v>
      </c>
      <c r="K350" s="4" t="str">
        <f t="shared" si="17"/>
        <v>C</v>
      </c>
      <c r="L350">
        <f>IF(Helper!$E$3="All",1,IF(C350=Helper!$E$3,1,0))</f>
        <v>1</v>
      </c>
    </row>
    <row r="351" spans="1:12" x14ac:dyDescent="0.3">
      <c r="A351" s="3" t="s">
        <v>1300</v>
      </c>
      <c r="B351" s="3" t="s">
        <v>1299</v>
      </c>
      <c r="C351" s="3" t="s">
        <v>0</v>
      </c>
      <c r="D351" s="7">
        <v>0.69000000000000006</v>
      </c>
      <c r="E351" s="5">
        <v>43</v>
      </c>
      <c r="F351" s="5">
        <v>90</v>
      </c>
      <c r="G351" s="5">
        <v>84</v>
      </c>
      <c r="H351" s="5">
        <v>52</v>
      </c>
      <c r="I351" s="6">
        <f t="shared" si="15"/>
        <v>-32</v>
      </c>
      <c r="J351">
        <f t="shared" si="16"/>
        <v>61.05</v>
      </c>
      <c r="K351" s="4" t="str">
        <f t="shared" si="17"/>
        <v>D</v>
      </c>
      <c r="L351">
        <f>IF(Helper!$E$3="All",1,IF(C351=Helper!$E$3,1,0))</f>
        <v>1</v>
      </c>
    </row>
    <row r="352" spans="1:12" x14ac:dyDescent="0.3">
      <c r="A352" s="3" t="s">
        <v>1298</v>
      </c>
      <c r="B352" s="3" t="s">
        <v>1297</v>
      </c>
      <c r="C352" s="3" t="s">
        <v>3</v>
      </c>
      <c r="D352" s="7">
        <v>0.92</v>
      </c>
      <c r="E352" s="5">
        <v>72</v>
      </c>
      <c r="F352" s="5">
        <v>44</v>
      </c>
      <c r="G352" s="5">
        <v>56</v>
      </c>
      <c r="H352" s="5">
        <v>59</v>
      </c>
      <c r="I352" s="6" t="str">
        <f t="shared" si="15"/>
        <v/>
      </c>
      <c r="J352">
        <f t="shared" si="16"/>
        <v>61.8</v>
      </c>
      <c r="K352" s="4" t="str">
        <f t="shared" si="17"/>
        <v>D</v>
      </c>
      <c r="L352">
        <f>IF(Helper!$E$3="All",1,IF(C352=Helper!$E$3,1,0))</f>
        <v>1</v>
      </c>
    </row>
    <row r="353" spans="1:12" x14ac:dyDescent="0.3">
      <c r="A353" s="3" t="s">
        <v>1296</v>
      </c>
      <c r="B353" s="3" t="s">
        <v>1295</v>
      </c>
      <c r="C353" s="3" t="s">
        <v>8</v>
      </c>
      <c r="D353" s="7">
        <v>0.97</v>
      </c>
      <c r="E353" s="5">
        <v>40</v>
      </c>
      <c r="F353" s="5">
        <v>68</v>
      </c>
      <c r="G353" s="5">
        <v>56</v>
      </c>
      <c r="H353" s="5">
        <v>93</v>
      </c>
      <c r="I353" s="6">
        <f t="shared" si="15"/>
        <v>37</v>
      </c>
      <c r="J353">
        <f t="shared" si="16"/>
        <v>75</v>
      </c>
      <c r="K353" s="4" t="str">
        <f t="shared" si="17"/>
        <v>C</v>
      </c>
      <c r="L353">
        <f>IF(Helper!$E$3="All",1,IF(C353=Helper!$E$3,1,0))</f>
        <v>1</v>
      </c>
    </row>
    <row r="354" spans="1:12" x14ac:dyDescent="0.3">
      <c r="A354" s="3" t="s">
        <v>1294</v>
      </c>
      <c r="B354" s="3" t="s">
        <v>1293</v>
      </c>
      <c r="C354" s="3" t="s">
        <v>8</v>
      </c>
      <c r="D354" s="7">
        <v>0.72</v>
      </c>
      <c r="E354" s="5">
        <v>58</v>
      </c>
      <c r="F354" s="5">
        <v>76</v>
      </c>
      <c r="G354" s="5">
        <v>88</v>
      </c>
      <c r="H354" s="5">
        <v>46</v>
      </c>
      <c r="I354" s="6">
        <f t="shared" si="15"/>
        <v>-42</v>
      </c>
      <c r="J354">
        <f t="shared" si="16"/>
        <v>70.300000000000011</v>
      </c>
      <c r="K354" s="4" t="str">
        <f t="shared" si="17"/>
        <v>C</v>
      </c>
      <c r="L354">
        <f>IF(Helper!$E$3="All",1,IF(C354=Helper!$E$3,1,0))</f>
        <v>1</v>
      </c>
    </row>
    <row r="355" spans="1:12" x14ac:dyDescent="0.3">
      <c r="A355" s="3" t="s">
        <v>1292</v>
      </c>
      <c r="B355" s="3" t="s">
        <v>1291</v>
      </c>
      <c r="C355" s="3" t="s">
        <v>3</v>
      </c>
      <c r="D355" s="7">
        <v>0.9</v>
      </c>
      <c r="E355" s="5">
        <v>70</v>
      </c>
      <c r="F355" s="5">
        <v>59</v>
      </c>
      <c r="G355" s="5">
        <v>72</v>
      </c>
      <c r="H355" s="5">
        <v>54</v>
      </c>
      <c r="I355" s="6" t="str">
        <f t="shared" si="15"/>
        <v/>
      </c>
      <c r="J355">
        <f t="shared" si="16"/>
        <v>66.849999999999994</v>
      </c>
      <c r="K355" s="4" t="str">
        <f t="shared" si="17"/>
        <v>D</v>
      </c>
      <c r="L355">
        <f>IF(Helper!$E$3="All",1,IF(C355=Helper!$E$3,1,0))</f>
        <v>1</v>
      </c>
    </row>
    <row r="356" spans="1:12" x14ac:dyDescent="0.3">
      <c r="A356" s="3" t="s">
        <v>1290</v>
      </c>
      <c r="B356" s="3" t="s">
        <v>1289</v>
      </c>
      <c r="C356" s="3" t="s">
        <v>3</v>
      </c>
      <c r="D356" s="7">
        <v>0.95000000000000007</v>
      </c>
      <c r="E356" s="5">
        <v>55</v>
      </c>
      <c r="F356" s="5">
        <v>88</v>
      </c>
      <c r="G356" s="5">
        <v>71</v>
      </c>
      <c r="H356" s="5">
        <v>62</v>
      </c>
      <c r="I356" s="6" t="str">
        <f t="shared" si="15"/>
        <v/>
      </c>
      <c r="J356">
        <f t="shared" si="16"/>
        <v>70.349999999999994</v>
      </c>
      <c r="K356" s="4" t="str">
        <f t="shared" si="17"/>
        <v>C</v>
      </c>
      <c r="L356">
        <f>IF(Helper!$E$3="All",1,IF(C356=Helper!$E$3,1,0))</f>
        <v>1</v>
      </c>
    </row>
    <row r="357" spans="1:12" x14ac:dyDescent="0.3">
      <c r="A357" s="3" t="s">
        <v>1288</v>
      </c>
      <c r="B357" s="3" t="s">
        <v>1287</v>
      </c>
      <c r="C357" s="3" t="s">
        <v>0</v>
      </c>
      <c r="D357" s="7">
        <v>0.83000000000000007</v>
      </c>
      <c r="E357" s="5">
        <v>53</v>
      </c>
      <c r="F357" s="5">
        <v>60</v>
      </c>
      <c r="G357" s="5">
        <v>47</v>
      </c>
      <c r="H357" s="5">
        <v>53</v>
      </c>
      <c r="I357" s="6" t="str">
        <f t="shared" si="15"/>
        <v/>
      </c>
      <c r="J357">
        <f t="shared" si="16"/>
        <v>55.65</v>
      </c>
      <c r="K357" s="4" t="str">
        <f t="shared" si="17"/>
        <v>F</v>
      </c>
      <c r="L357">
        <f>IF(Helper!$E$3="All",1,IF(C357=Helper!$E$3,1,0))</f>
        <v>1</v>
      </c>
    </row>
    <row r="358" spans="1:12" x14ac:dyDescent="0.3">
      <c r="A358" s="3" t="s">
        <v>1286</v>
      </c>
      <c r="B358" s="3" t="s">
        <v>1285</v>
      </c>
      <c r="C358" s="3" t="s">
        <v>17</v>
      </c>
      <c r="D358" s="7">
        <v>0.74</v>
      </c>
      <c r="E358" s="5">
        <v>92</v>
      </c>
      <c r="F358" s="5">
        <v>49</v>
      </c>
      <c r="G358" s="5">
        <v>58</v>
      </c>
      <c r="H358" s="5">
        <v>62</v>
      </c>
      <c r="I358" s="6" t="str">
        <f t="shared" si="15"/>
        <v/>
      </c>
      <c r="J358">
        <f t="shared" si="16"/>
        <v>65.05</v>
      </c>
      <c r="K358" s="4" t="str">
        <f t="shared" si="17"/>
        <v>D</v>
      </c>
      <c r="L358">
        <f>IF(Helper!$E$3="All",1,IF(C358=Helper!$E$3,1,0))</f>
        <v>1</v>
      </c>
    </row>
    <row r="359" spans="1:12" x14ac:dyDescent="0.3">
      <c r="A359" s="3" t="s">
        <v>1284</v>
      </c>
      <c r="B359" s="3" t="s">
        <v>1283</v>
      </c>
      <c r="C359" s="3" t="s">
        <v>3</v>
      </c>
      <c r="D359" s="7">
        <v>0.88</v>
      </c>
      <c r="E359" s="5">
        <v>87</v>
      </c>
      <c r="F359" s="5">
        <v>44</v>
      </c>
      <c r="G359" s="5">
        <v>77</v>
      </c>
      <c r="H359" s="5">
        <v>58</v>
      </c>
      <c r="I359" s="6" t="str">
        <f t="shared" si="15"/>
        <v/>
      </c>
      <c r="J359">
        <f t="shared" si="16"/>
        <v>70.55</v>
      </c>
      <c r="K359" s="4" t="str">
        <f t="shared" si="17"/>
        <v>C</v>
      </c>
      <c r="L359">
        <f>IF(Helper!$E$3="All",1,IF(C359=Helper!$E$3,1,0))</f>
        <v>1</v>
      </c>
    </row>
    <row r="360" spans="1:12" x14ac:dyDescent="0.3">
      <c r="A360" s="3" t="s">
        <v>1282</v>
      </c>
      <c r="B360" s="3" t="s">
        <v>1281</v>
      </c>
      <c r="C360" s="3" t="s">
        <v>8</v>
      </c>
      <c r="D360" s="7">
        <v>0.67</v>
      </c>
      <c r="E360" s="5">
        <v>44</v>
      </c>
      <c r="F360" s="5">
        <v>75</v>
      </c>
      <c r="G360" s="5">
        <v>42</v>
      </c>
      <c r="H360" s="5">
        <v>93</v>
      </c>
      <c r="I360" s="6">
        <f t="shared" si="15"/>
        <v>51</v>
      </c>
      <c r="J360">
        <f t="shared" si="16"/>
        <v>59.95</v>
      </c>
      <c r="K360" s="4" t="str">
        <f t="shared" si="17"/>
        <v>F</v>
      </c>
      <c r="L360">
        <f>IF(Helper!$E$3="All",1,IF(C360=Helper!$E$3,1,0))</f>
        <v>1</v>
      </c>
    </row>
    <row r="361" spans="1:12" x14ac:dyDescent="0.3">
      <c r="A361" s="3" t="s">
        <v>1280</v>
      </c>
      <c r="B361" s="3" t="s">
        <v>1279</v>
      </c>
      <c r="C361" s="3" t="s">
        <v>0</v>
      </c>
      <c r="D361" s="7">
        <v>0.64</v>
      </c>
      <c r="E361" s="5">
        <v>80</v>
      </c>
      <c r="F361" s="5">
        <v>45</v>
      </c>
      <c r="G361" s="5">
        <v>98</v>
      </c>
      <c r="H361" s="5">
        <v>68</v>
      </c>
      <c r="I361" s="6" t="str">
        <f t="shared" si="15"/>
        <v/>
      </c>
      <c r="J361">
        <f t="shared" si="16"/>
        <v>72.650000000000006</v>
      </c>
      <c r="K361" s="4" t="str">
        <f t="shared" si="17"/>
        <v>C</v>
      </c>
      <c r="L361">
        <f>IF(Helper!$E$3="All",1,IF(C361=Helper!$E$3,1,0))</f>
        <v>1</v>
      </c>
    </row>
    <row r="362" spans="1:12" x14ac:dyDescent="0.3">
      <c r="A362" s="3" t="s">
        <v>1278</v>
      </c>
      <c r="B362" s="3" t="s">
        <v>1277</v>
      </c>
      <c r="C362" s="3" t="s">
        <v>3</v>
      </c>
      <c r="D362" s="7">
        <v>0.88</v>
      </c>
      <c r="E362" s="5">
        <v>65</v>
      </c>
      <c r="F362" s="5">
        <v>65</v>
      </c>
      <c r="G362" s="5">
        <v>44</v>
      </c>
      <c r="H362" s="5">
        <v>95</v>
      </c>
      <c r="I362" s="6">
        <f t="shared" si="15"/>
        <v>51</v>
      </c>
      <c r="J362">
        <f t="shared" si="16"/>
        <v>72.099999999999994</v>
      </c>
      <c r="K362" s="4" t="str">
        <f t="shared" si="17"/>
        <v>C</v>
      </c>
      <c r="L362">
        <f>IF(Helper!$E$3="All",1,IF(C362=Helper!$E$3,1,0))</f>
        <v>1</v>
      </c>
    </row>
    <row r="363" spans="1:12" x14ac:dyDescent="0.3">
      <c r="A363" s="3" t="s">
        <v>1276</v>
      </c>
      <c r="B363" s="3" t="s">
        <v>1275</v>
      </c>
      <c r="C363" s="3" t="s">
        <v>8</v>
      </c>
      <c r="D363" s="7">
        <v>0.63</v>
      </c>
      <c r="E363" s="5">
        <v>67</v>
      </c>
      <c r="F363" s="5">
        <v>43</v>
      </c>
      <c r="G363" s="5">
        <v>52</v>
      </c>
      <c r="H363" s="5">
        <v>59</v>
      </c>
      <c r="I363" s="6" t="str">
        <f t="shared" si="15"/>
        <v/>
      </c>
      <c r="J363">
        <f t="shared" si="16"/>
        <v>49.9</v>
      </c>
      <c r="K363" s="4" t="str">
        <f t="shared" si="17"/>
        <v>F</v>
      </c>
      <c r="L363">
        <f>IF(Helper!$E$3="All",1,IF(C363=Helper!$E$3,1,0))</f>
        <v>1</v>
      </c>
    </row>
    <row r="364" spans="1:12" x14ac:dyDescent="0.3">
      <c r="A364" s="3" t="s">
        <v>1274</v>
      </c>
      <c r="B364" s="3" t="s">
        <v>1273</v>
      </c>
      <c r="C364" s="3" t="s">
        <v>8</v>
      </c>
      <c r="D364" s="7">
        <v>0.71</v>
      </c>
      <c r="E364" s="5">
        <v>41</v>
      </c>
      <c r="F364" s="5">
        <v>78</v>
      </c>
      <c r="G364" s="5">
        <v>86</v>
      </c>
      <c r="H364" s="5">
        <v>68</v>
      </c>
      <c r="I364" s="6" t="str">
        <f t="shared" si="15"/>
        <v/>
      </c>
      <c r="J364">
        <f t="shared" si="16"/>
        <v>77.550000000000011</v>
      </c>
      <c r="K364" s="4" t="str">
        <f t="shared" si="17"/>
        <v>C</v>
      </c>
      <c r="L364">
        <f>IF(Helper!$E$3="All",1,IF(C364=Helper!$E$3,1,0))</f>
        <v>1</v>
      </c>
    </row>
    <row r="365" spans="1:12" x14ac:dyDescent="0.3">
      <c r="A365" s="3" t="s">
        <v>1272</v>
      </c>
      <c r="B365" s="3" t="s">
        <v>1271</v>
      </c>
      <c r="C365" s="3" t="s">
        <v>17</v>
      </c>
      <c r="D365" s="7">
        <v>0.61</v>
      </c>
      <c r="E365" s="5">
        <v>89</v>
      </c>
      <c r="F365" s="5">
        <v>78</v>
      </c>
      <c r="G365" s="5">
        <v>85</v>
      </c>
      <c r="H365" s="5">
        <v>63</v>
      </c>
      <c r="I365" s="6" t="str">
        <f t="shared" si="15"/>
        <v/>
      </c>
      <c r="J365">
        <f t="shared" si="16"/>
        <v>67.55</v>
      </c>
      <c r="K365" s="4" t="str">
        <f t="shared" si="17"/>
        <v>D</v>
      </c>
      <c r="L365">
        <f>IF(Helper!$E$3="All",1,IF(C365=Helper!$E$3,1,0))</f>
        <v>1</v>
      </c>
    </row>
    <row r="366" spans="1:12" x14ac:dyDescent="0.3">
      <c r="A366" s="3" t="s">
        <v>1270</v>
      </c>
      <c r="B366" s="3" t="s">
        <v>675</v>
      </c>
      <c r="C366" s="3" t="s">
        <v>0</v>
      </c>
      <c r="D366" s="7">
        <v>0.86</v>
      </c>
      <c r="E366" s="5">
        <v>45</v>
      </c>
      <c r="F366" s="5">
        <v>89</v>
      </c>
      <c r="G366" s="5">
        <v>100</v>
      </c>
      <c r="H366" s="5">
        <v>57</v>
      </c>
      <c r="I366" s="6">
        <f t="shared" si="15"/>
        <v>-43</v>
      </c>
      <c r="J366">
        <f t="shared" si="16"/>
        <v>79.5</v>
      </c>
      <c r="K366" s="4" t="str">
        <f t="shared" si="17"/>
        <v>C</v>
      </c>
      <c r="L366">
        <f>IF(Helper!$E$3="All",1,IF(C366=Helper!$E$3,1,0))</f>
        <v>1</v>
      </c>
    </row>
    <row r="367" spans="1:12" x14ac:dyDescent="0.3">
      <c r="A367" s="3" t="s">
        <v>1269</v>
      </c>
      <c r="B367" s="3" t="s">
        <v>1268</v>
      </c>
      <c r="C367" s="3" t="s">
        <v>0</v>
      </c>
      <c r="D367" s="7">
        <v>0.9</v>
      </c>
      <c r="E367" s="5">
        <v>48</v>
      </c>
      <c r="F367" s="5">
        <v>74</v>
      </c>
      <c r="G367" s="5">
        <v>70</v>
      </c>
      <c r="H367" s="5">
        <v>49</v>
      </c>
      <c r="I367" s="6" t="str">
        <f t="shared" si="15"/>
        <v/>
      </c>
      <c r="J367">
        <f t="shared" si="16"/>
        <v>63.7</v>
      </c>
      <c r="K367" s="4" t="str">
        <f t="shared" si="17"/>
        <v>D</v>
      </c>
      <c r="L367">
        <f>IF(Helper!$E$3="All",1,IF(C367=Helper!$E$3,1,0))</f>
        <v>1</v>
      </c>
    </row>
    <row r="368" spans="1:12" x14ac:dyDescent="0.3">
      <c r="A368" s="3" t="s">
        <v>1267</v>
      </c>
      <c r="B368" s="3" t="s">
        <v>1266</v>
      </c>
      <c r="C368" s="3" t="s">
        <v>17</v>
      </c>
      <c r="D368" s="7">
        <v>0.95000000000000007</v>
      </c>
      <c r="E368" s="5">
        <v>72</v>
      </c>
      <c r="F368" s="5">
        <v>40</v>
      </c>
      <c r="G368" s="5">
        <v>94</v>
      </c>
      <c r="H368" s="5">
        <v>80</v>
      </c>
      <c r="I368" s="6" t="str">
        <f t="shared" si="15"/>
        <v/>
      </c>
      <c r="J368">
        <f t="shared" si="16"/>
        <v>85.199999999999989</v>
      </c>
      <c r="K368" s="4" t="str">
        <f t="shared" si="17"/>
        <v>B</v>
      </c>
      <c r="L368">
        <f>IF(Helper!$E$3="All",1,IF(C368=Helper!$E$3,1,0))</f>
        <v>1</v>
      </c>
    </row>
    <row r="369" spans="1:12" x14ac:dyDescent="0.3">
      <c r="A369" s="3" t="s">
        <v>1265</v>
      </c>
      <c r="B369" s="3" t="s">
        <v>1264</v>
      </c>
      <c r="C369" s="3" t="s">
        <v>17</v>
      </c>
      <c r="D369" s="7">
        <v>0.95000000000000007</v>
      </c>
      <c r="E369" s="5">
        <v>80</v>
      </c>
      <c r="F369" s="5">
        <v>63</v>
      </c>
      <c r="G369" s="5">
        <v>55</v>
      </c>
      <c r="H369" s="5">
        <v>96</v>
      </c>
      <c r="I369" s="6">
        <f t="shared" si="15"/>
        <v>41</v>
      </c>
      <c r="J369">
        <f t="shared" si="16"/>
        <v>77.55</v>
      </c>
      <c r="K369" s="4" t="str">
        <f t="shared" si="17"/>
        <v>C</v>
      </c>
      <c r="L369">
        <f>IF(Helper!$E$3="All",1,IF(C369=Helper!$E$3,1,0))</f>
        <v>1</v>
      </c>
    </row>
    <row r="370" spans="1:12" x14ac:dyDescent="0.3">
      <c r="A370" s="3" t="s">
        <v>1263</v>
      </c>
      <c r="B370" s="3" t="s">
        <v>1262</v>
      </c>
      <c r="C370" s="3" t="s">
        <v>0</v>
      </c>
      <c r="D370" s="7">
        <v>0.85</v>
      </c>
      <c r="E370" s="5">
        <v>64</v>
      </c>
      <c r="F370" s="5">
        <v>96</v>
      </c>
      <c r="G370" s="5">
        <v>89</v>
      </c>
      <c r="H370" s="5">
        <v>47</v>
      </c>
      <c r="I370" s="6">
        <f t="shared" si="15"/>
        <v>-42</v>
      </c>
      <c r="J370">
        <f t="shared" si="16"/>
        <v>72.400000000000006</v>
      </c>
      <c r="K370" s="4" t="str">
        <f t="shared" si="17"/>
        <v>C</v>
      </c>
      <c r="L370">
        <f>IF(Helper!$E$3="All",1,IF(C370=Helper!$E$3,1,0))</f>
        <v>1</v>
      </c>
    </row>
    <row r="371" spans="1:12" x14ac:dyDescent="0.3">
      <c r="A371" s="3" t="s">
        <v>1261</v>
      </c>
      <c r="B371" s="3" t="s">
        <v>1260</v>
      </c>
      <c r="C371" s="3" t="s">
        <v>0</v>
      </c>
      <c r="D371" s="7">
        <v>0.86</v>
      </c>
      <c r="E371" s="5">
        <v>87</v>
      </c>
      <c r="F371" s="5">
        <v>75</v>
      </c>
      <c r="G371" s="5">
        <v>71</v>
      </c>
      <c r="H371" s="5">
        <v>65</v>
      </c>
      <c r="I371" s="6" t="str">
        <f t="shared" si="15"/>
        <v/>
      </c>
      <c r="J371">
        <f t="shared" si="16"/>
        <v>72.5</v>
      </c>
      <c r="K371" s="4" t="str">
        <f t="shared" si="17"/>
        <v>C</v>
      </c>
      <c r="L371">
        <f>IF(Helper!$E$3="All",1,IF(C371=Helper!$E$3,1,0))</f>
        <v>1</v>
      </c>
    </row>
    <row r="372" spans="1:12" x14ac:dyDescent="0.3">
      <c r="A372" s="3" t="s">
        <v>1259</v>
      </c>
      <c r="B372" s="3" t="s">
        <v>1258</v>
      </c>
      <c r="C372" s="3" t="s">
        <v>3</v>
      </c>
      <c r="D372" s="7">
        <v>0.64</v>
      </c>
      <c r="E372" s="5">
        <v>52</v>
      </c>
      <c r="F372" s="5">
        <v>45</v>
      </c>
      <c r="G372" s="5">
        <v>61</v>
      </c>
      <c r="H372" s="5">
        <v>68</v>
      </c>
      <c r="I372" s="6" t="str">
        <f t="shared" si="15"/>
        <v/>
      </c>
      <c r="J372">
        <f t="shared" si="16"/>
        <v>56.45</v>
      </c>
      <c r="K372" s="4" t="str">
        <f t="shared" si="17"/>
        <v>F</v>
      </c>
      <c r="L372">
        <f>IF(Helper!$E$3="All",1,IF(C372=Helper!$E$3,1,0))</f>
        <v>1</v>
      </c>
    </row>
    <row r="373" spans="1:12" x14ac:dyDescent="0.3">
      <c r="A373" s="3" t="s">
        <v>1257</v>
      </c>
      <c r="B373" s="3" t="s">
        <v>1256</v>
      </c>
      <c r="C373" s="3" t="s">
        <v>3</v>
      </c>
      <c r="D373" s="7">
        <v>0.79</v>
      </c>
      <c r="E373" s="5">
        <v>48</v>
      </c>
      <c r="F373" s="5">
        <v>80</v>
      </c>
      <c r="G373" s="5">
        <v>68</v>
      </c>
      <c r="H373" s="5">
        <v>49</v>
      </c>
      <c r="I373" s="6" t="str">
        <f t="shared" si="15"/>
        <v/>
      </c>
      <c r="J373">
        <f t="shared" si="16"/>
        <v>63.2</v>
      </c>
      <c r="K373" s="4" t="str">
        <f t="shared" si="17"/>
        <v>D</v>
      </c>
      <c r="L373">
        <f>IF(Helper!$E$3="All",1,IF(C373=Helper!$E$3,1,0))</f>
        <v>1</v>
      </c>
    </row>
    <row r="374" spans="1:12" x14ac:dyDescent="0.3">
      <c r="A374" s="3" t="s">
        <v>1255</v>
      </c>
      <c r="B374" s="3" t="s">
        <v>1254</v>
      </c>
      <c r="C374" s="3" t="s">
        <v>17</v>
      </c>
      <c r="D374" s="7">
        <v>0.70000000000000007</v>
      </c>
      <c r="E374" s="5">
        <v>92</v>
      </c>
      <c r="F374" s="5">
        <v>93</v>
      </c>
      <c r="G374" s="5">
        <v>61</v>
      </c>
      <c r="H374" s="5">
        <v>56</v>
      </c>
      <c r="I374" s="6" t="str">
        <f t="shared" si="15"/>
        <v/>
      </c>
      <c r="J374">
        <f t="shared" si="16"/>
        <v>56.05</v>
      </c>
      <c r="K374" s="4" t="str">
        <f t="shared" si="17"/>
        <v>F</v>
      </c>
      <c r="L374">
        <f>IF(Helper!$E$3="All",1,IF(C374=Helper!$E$3,1,0))</f>
        <v>1</v>
      </c>
    </row>
    <row r="375" spans="1:12" x14ac:dyDescent="0.3">
      <c r="A375" s="3" t="s">
        <v>1253</v>
      </c>
      <c r="B375" s="3" t="s">
        <v>1252</v>
      </c>
      <c r="C375" s="3" t="s">
        <v>3</v>
      </c>
      <c r="D375" s="7">
        <v>0.69000000000000006</v>
      </c>
      <c r="E375" s="5">
        <v>52</v>
      </c>
      <c r="F375" s="5">
        <v>85</v>
      </c>
      <c r="G375" s="5">
        <v>82</v>
      </c>
      <c r="H375" s="5">
        <v>41</v>
      </c>
      <c r="I375" s="6">
        <f t="shared" si="15"/>
        <v>-41</v>
      </c>
      <c r="J375">
        <f t="shared" si="16"/>
        <v>56.05</v>
      </c>
      <c r="K375" s="4" t="str">
        <f t="shared" si="17"/>
        <v>F</v>
      </c>
      <c r="L375">
        <f>IF(Helper!$E$3="All",1,IF(C375=Helper!$E$3,1,0))</f>
        <v>1</v>
      </c>
    </row>
    <row r="376" spans="1:12" x14ac:dyDescent="0.3">
      <c r="A376" s="3" t="s">
        <v>1251</v>
      </c>
      <c r="B376" s="3" t="s">
        <v>589</v>
      </c>
      <c r="C376" s="3" t="s">
        <v>8</v>
      </c>
      <c r="D376" s="7">
        <v>0.99</v>
      </c>
      <c r="E376" s="5">
        <v>70</v>
      </c>
      <c r="F376" s="5">
        <v>99</v>
      </c>
      <c r="G376" s="5">
        <v>42</v>
      </c>
      <c r="H376" s="5">
        <v>45</v>
      </c>
      <c r="I376" s="6" t="str">
        <f t="shared" si="15"/>
        <v/>
      </c>
      <c r="J376">
        <f t="shared" si="16"/>
        <v>53.25</v>
      </c>
      <c r="K376" s="4" t="str">
        <f t="shared" si="17"/>
        <v>F</v>
      </c>
      <c r="L376">
        <f>IF(Helper!$E$3="All",1,IF(C376=Helper!$E$3,1,0))</f>
        <v>1</v>
      </c>
    </row>
    <row r="377" spans="1:12" x14ac:dyDescent="0.3">
      <c r="A377" s="3" t="s">
        <v>1250</v>
      </c>
      <c r="B377" s="3" t="s">
        <v>1249</v>
      </c>
      <c r="C377" s="3" t="s">
        <v>3</v>
      </c>
      <c r="D377" s="7">
        <v>0.97</v>
      </c>
      <c r="E377" s="5">
        <v>80</v>
      </c>
      <c r="F377" s="5">
        <v>83</v>
      </c>
      <c r="G377" s="5">
        <v>93</v>
      </c>
      <c r="H377" s="5">
        <v>97</v>
      </c>
      <c r="I377" s="6" t="str">
        <f t="shared" si="15"/>
        <v/>
      </c>
      <c r="J377">
        <f t="shared" si="16"/>
        <v>94.15</v>
      </c>
      <c r="K377" s="4" t="str">
        <f t="shared" si="17"/>
        <v>A</v>
      </c>
      <c r="L377">
        <f>IF(Helper!$E$3="All",1,IF(C377=Helper!$E$3,1,0))</f>
        <v>1</v>
      </c>
    </row>
    <row r="378" spans="1:12" x14ac:dyDescent="0.3">
      <c r="A378" s="3" t="s">
        <v>1248</v>
      </c>
      <c r="B378" s="3" t="s">
        <v>1247</v>
      </c>
      <c r="C378" s="3" t="s">
        <v>3</v>
      </c>
      <c r="D378" s="7">
        <v>0.65</v>
      </c>
      <c r="E378" s="5">
        <v>50</v>
      </c>
      <c r="F378" s="5">
        <v>99</v>
      </c>
      <c r="G378" s="5">
        <v>49</v>
      </c>
      <c r="H378" s="5">
        <v>44</v>
      </c>
      <c r="I378" s="6" t="str">
        <f t="shared" si="15"/>
        <v/>
      </c>
      <c r="J378">
        <f t="shared" si="16"/>
        <v>44.650000000000006</v>
      </c>
      <c r="K378" s="4" t="str">
        <f t="shared" si="17"/>
        <v>F</v>
      </c>
      <c r="L378">
        <f>IF(Helper!$E$3="All",1,IF(C378=Helper!$E$3,1,0))</f>
        <v>1</v>
      </c>
    </row>
    <row r="379" spans="1:12" x14ac:dyDescent="0.3">
      <c r="A379" s="3" t="s">
        <v>1246</v>
      </c>
      <c r="B379" s="3" t="s">
        <v>1245</v>
      </c>
      <c r="C379" s="3" t="s">
        <v>8</v>
      </c>
      <c r="D379" s="7">
        <v>0.67</v>
      </c>
      <c r="E379" s="5">
        <v>43</v>
      </c>
      <c r="F379" s="5">
        <v>96</v>
      </c>
      <c r="G379" s="5">
        <v>81</v>
      </c>
      <c r="H379" s="5">
        <v>67</v>
      </c>
      <c r="I379" s="6" t="str">
        <f t="shared" si="15"/>
        <v/>
      </c>
      <c r="J379">
        <f t="shared" si="16"/>
        <v>66.150000000000006</v>
      </c>
      <c r="K379" s="4" t="str">
        <f t="shared" si="17"/>
        <v>D</v>
      </c>
      <c r="L379">
        <f>IF(Helper!$E$3="All",1,IF(C379=Helper!$E$3,1,0))</f>
        <v>1</v>
      </c>
    </row>
    <row r="380" spans="1:12" x14ac:dyDescent="0.3">
      <c r="A380" s="3" t="s">
        <v>1244</v>
      </c>
      <c r="B380" s="3" t="s">
        <v>1243</v>
      </c>
      <c r="C380" s="3" t="s">
        <v>17</v>
      </c>
      <c r="D380" s="7">
        <v>0.82000000000000006</v>
      </c>
      <c r="E380" s="5">
        <v>73</v>
      </c>
      <c r="F380" s="5">
        <v>70</v>
      </c>
      <c r="G380" s="5">
        <v>60</v>
      </c>
      <c r="H380" s="5">
        <v>80</v>
      </c>
      <c r="I380" s="6">
        <f t="shared" si="15"/>
        <v>20</v>
      </c>
      <c r="J380">
        <f t="shared" si="16"/>
        <v>73.150000000000006</v>
      </c>
      <c r="K380" s="4" t="str">
        <f t="shared" si="17"/>
        <v>C</v>
      </c>
      <c r="L380">
        <f>IF(Helper!$E$3="All",1,IF(C380=Helper!$E$3,1,0))</f>
        <v>1</v>
      </c>
    </row>
    <row r="381" spans="1:12" x14ac:dyDescent="0.3">
      <c r="A381" s="3" t="s">
        <v>1242</v>
      </c>
      <c r="B381" s="3" t="s">
        <v>1241</v>
      </c>
      <c r="C381" s="3" t="s">
        <v>8</v>
      </c>
      <c r="D381" s="7">
        <v>0.85</v>
      </c>
      <c r="E381" s="5">
        <v>100</v>
      </c>
      <c r="F381" s="5">
        <v>59</v>
      </c>
      <c r="G381" s="5">
        <v>55</v>
      </c>
      <c r="H381" s="5">
        <v>44</v>
      </c>
      <c r="I381" s="6" t="str">
        <f t="shared" si="15"/>
        <v/>
      </c>
      <c r="J381">
        <f t="shared" si="16"/>
        <v>57.550000000000004</v>
      </c>
      <c r="K381" s="4" t="str">
        <f t="shared" si="17"/>
        <v>F</v>
      </c>
      <c r="L381">
        <f>IF(Helper!$E$3="All",1,IF(C381=Helper!$E$3,1,0))</f>
        <v>1</v>
      </c>
    </row>
    <row r="382" spans="1:12" x14ac:dyDescent="0.3">
      <c r="A382" s="3" t="s">
        <v>1240</v>
      </c>
      <c r="B382" s="3" t="s">
        <v>1239</v>
      </c>
      <c r="C382" s="3" t="s">
        <v>3</v>
      </c>
      <c r="D382" s="7">
        <v>0.71</v>
      </c>
      <c r="E382" s="5">
        <v>77</v>
      </c>
      <c r="F382" s="5">
        <v>63</v>
      </c>
      <c r="G382" s="5">
        <v>51</v>
      </c>
      <c r="H382" s="5">
        <v>57</v>
      </c>
      <c r="I382" s="6" t="str">
        <f t="shared" si="15"/>
        <v/>
      </c>
      <c r="J382">
        <f t="shared" si="16"/>
        <v>60.199999999999996</v>
      </c>
      <c r="K382" s="4" t="str">
        <f t="shared" si="17"/>
        <v>D</v>
      </c>
      <c r="L382">
        <f>IF(Helper!$E$3="All",1,IF(C382=Helper!$E$3,1,0))</f>
        <v>1</v>
      </c>
    </row>
    <row r="383" spans="1:12" x14ac:dyDescent="0.3">
      <c r="A383" s="3" t="s">
        <v>1238</v>
      </c>
      <c r="B383" s="3" t="s">
        <v>1237</v>
      </c>
      <c r="C383" s="3" t="s">
        <v>17</v>
      </c>
      <c r="D383" s="7">
        <v>0.85</v>
      </c>
      <c r="E383" s="5">
        <v>85</v>
      </c>
      <c r="F383" s="5">
        <v>64</v>
      </c>
      <c r="G383" s="5">
        <v>41</v>
      </c>
      <c r="H383" s="5">
        <v>65</v>
      </c>
      <c r="I383" s="6">
        <f t="shared" si="15"/>
        <v>24</v>
      </c>
      <c r="J383">
        <f t="shared" si="16"/>
        <v>59.849999999999994</v>
      </c>
      <c r="K383" s="4" t="str">
        <f t="shared" si="17"/>
        <v>F</v>
      </c>
      <c r="L383">
        <f>IF(Helper!$E$3="All",1,IF(C383=Helper!$E$3,1,0))</f>
        <v>1</v>
      </c>
    </row>
    <row r="384" spans="1:12" x14ac:dyDescent="0.3">
      <c r="A384" s="3" t="s">
        <v>1236</v>
      </c>
      <c r="B384" s="3" t="s">
        <v>1235</v>
      </c>
      <c r="C384" s="3" t="s">
        <v>3</v>
      </c>
      <c r="D384" s="7">
        <v>0.72</v>
      </c>
      <c r="E384" s="5">
        <v>43</v>
      </c>
      <c r="F384" s="5">
        <v>75</v>
      </c>
      <c r="G384" s="5">
        <v>80</v>
      </c>
      <c r="H384" s="5">
        <v>59</v>
      </c>
      <c r="I384" s="6" t="str">
        <f t="shared" si="15"/>
        <v/>
      </c>
      <c r="J384">
        <f t="shared" si="16"/>
        <v>71.5</v>
      </c>
      <c r="K384" s="4" t="str">
        <f t="shared" si="17"/>
        <v>C</v>
      </c>
      <c r="L384">
        <f>IF(Helper!$E$3="All",1,IF(C384=Helper!$E$3,1,0))</f>
        <v>1</v>
      </c>
    </row>
    <row r="385" spans="1:12" x14ac:dyDescent="0.3">
      <c r="A385" s="3" t="s">
        <v>1234</v>
      </c>
      <c r="B385" s="3" t="s">
        <v>1233</v>
      </c>
      <c r="C385" s="3" t="s">
        <v>8</v>
      </c>
      <c r="D385" s="7">
        <v>0.99</v>
      </c>
      <c r="E385" s="5">
        <v>77</v>
      </c>
      <c r="F385" s="5">
        <v>60</v>
      </c>
      <c r="G385" s="5">
        <v>63</v>
      </c>
      <c r="H385" s="5">
        <v>80</v>
      </c>
      <c r="I385" s="6">
        <f t="shared" si="15"/>
        <v>17</v>
      </c>
      <c r="J385">
        <f t="shared" si="16"/>
        <v>74.05</v>
      </c>
      <c r="K385" s="4" t="str">
        <f t="shared" si="17"/>
        <v>C</v>
      </c>
      <c r="L385">
        <f>IF(Helper!$E$3="All",1,IF(C385=Helper!$E$3,1,0))</f>
        <v>1</v>
      </c>
    </row>
    <row r="386" spans="1:12" x14ac:dyDescent="0.3">
      <c r="A386" s="3" t="s">
        <v>1232</v>
      </c>
      <c r="B386" s="3" t="s">
        <v>1231</v>
      </c>
      <c r="C386" s="3" t="s">
        <v>8</v>
      </c>
      <c r="D386" s="7">
        <v>0.77</v>
      </c>
      <c r="E386" s="5">
        <v>58</v>
      </c>
      <c r="F386" s="5">
        <v>69</v>
      </c>
      <c r="G386" s="5">
        <v>74</v>
      </c>
      <c r="H386" s="5">
        <v>88</v>
      </c>
      <c r="I386" s="6">
        <f t="shared" ref="I386:I449" si="18">IF(H386&gt;G386*1.15,H386-G386,IF(H386&lt;G386*0.65,H386-G386,""))</f>
        <v>14</v>
      </c>
      <c r="J386">
        <f t="shared" ref="J386:J449" si="19">IF(ISBLANK(D386),"",IF(D386&gt;0.7,10,0)+(E386/100*5)+(F386/100*5)+(G386/100*40)+(H386/100*40))</f>
        <v>81.150000000000006</v>
      </c>
      <c r="K386" s="4" t="str">
        <f t="shared" ref="K386:K449" si="20">IF(J386&gt;=90,"A",IF(J386&gt;=80,"B",IF(J386&gt;=70,"C",IF(J386&gt;=60,"D","F"))))</f>
        <v>B</v>
      </c>
      <c r="L386">
        <f>IF(Helper!$E$3="All",1,IF(C386=Helper!$E$3,1,0))</f>
        <v>1</v>
      </c>
    </row>
    <row r="387" spans="1:12" x14ac:dyDescent="0.3">
      <c r="A387" s="3" t="s">
        <v>1230</v>
      </c>
      <c r="B387" s="3" t="s">
        <v>1229</v>
      </c>
      <c r="C387" s="3" t="s">
        <v>3</v>
      </c>
      <c r="D387" s="7">
        <v>0.84</v>
      </c>
      <c r="E387" s="5">
        <v>45</v>
      </c>
      <c r="F387" s="5">
        <v>63</v>
      </c>
      <c r="G387" s="5">
        <v>95</v>
      </c>
      <c r="H387" s="5">
        <v>66</v>
      </c>
      <c r="I387" s="6" t="str">
        <f t="shared" si="18"/>
        <v/>
      </c>
      <c r="J387">
        <f t="shared" si="19"/>
        <v>79.8</v>
      </c>
      <c r="K387" s="4" t="str">
        <f t="shared" si="20"/>
        <v>C</v>
      </c>
      <c r="L387">
        <f>IF(Helper!$E$3="All",1,IF(C387=Helper!$E$3,1,0))</f>
        <v>1</v>
      </c>
    </row>
    <row r="388" spans="1:12" x14ac:dyDescent="0.3">
      <c r="A388" s="3" t="s">
        <v>1228</v>
      </c>
      <c r="B388" s="3" t="s">
        <v>1227</v>
      </c>
      <c r="C388" s="3" t="s">
        <v>0</v>
      </c>
      <c r="D388" s="7">
        <v>0.92</v>
      </c>
      <c r="E388" s="5">
        <v>73</v>
      </c>
      <c r="F388" s="5">
        <v>83</v>
      </c>
      <c r="G388" s="5">
        <v>69</v>
      </c>
      <c r="H388" s="5">
        <v>88</v>
      </c>
      <c r="I388" s="6">
        <f t="shared" si="18"/>
        <v>19</v>
      </c>
      <c r="J388">
        <f t="shared" si="19"/>
        <v>80.599999999999994</v>
      </c>
      <c r="K388" s="4" t="str">
        <f t="shared" si="20"/>
        <v>B</v>
      </c>
      <c r="L388">
        <f>IF(Helper!$E$3="All",1,IF(C388=Helper!$E$3,1,0))</f>
        <v>1</v>
      </c>
    </row>
    <row r="389" spans="1:12" x14ac:dyDescent="0.3">
      <c r="A389" s="3" t="s">
        <v>1226</v>
      </c>
      <c r="B389" s="3" t="s">
        <v>1225</v>
      </c>
      <c r="C389" s="3" t="s">
        <v>0</v>
      </c>
      <c r="D389" s="7">
        <v>0.99</v>
      </c>
      <c r="E389" s="5">
        <v>57</v>
      </c>
      <c r="F389" s="5">
        <v>81</v>
      </c>
      <c r="G389" s="5">
        <v>96</v>
      </c>
      <c r="H389" s="5">
        <v>51</v>
      </c>
      <c r="I389" s="6">
        <f t="shared" si="18"/>
        <v>-45</v>
      </c>
      <c r="J389">
        <f t="shared" si="19"/>
        <v>75.699999999999989</v>
      </c>
      <c r="K389" s="4" t="str">
        <f t="shared" si="20"/>
        <v>C</v>
      </c>
      <c r="L389">
        <f>IF(Helper!$E$3="All",1,IF(C389=Helper!$E$3,1,0))</f>
        <v>1</v>
      </c>
    </row>
    <row r="390" spans="1:12" x14ac:dyDescent="0.3">
      <c r="A390" s="3" t="s">
        <v>1224</v>
      </c>
      <c r="B390" s="3" t="s">
        <v>1223</v>
      </c>
      <c r="C390" s="3" t="s">
        <v>8</v>
      </c>
      <c r="D390" s="7">
        <v>0.71</v>
      </c>
      <c r="E390" s="5">
        <v>52</v>
      </c>
      <c r="F390" s="5">
        <v>69</v>
      </c>
      <c r="G390" s="5">
        <v>69</v>
      </c>
      <c r="H390" s="5">
        <v>46</v>
      </c>
      <c r="I390" s="6" t="str">
        <f t="shared" si="18"/>
        <v/>
      </c>
      <c r="J390">
        <f t="shared" si="19"/>
        <v>62.05</v>
      </c>
      <c r="K390" s="4" t="str">
        <f t="shared" si="20"/>
        <v>D</v>
      </c>
      <c r="L390">
        <f>IF(Helper!$E$3="All",1,IF(C390=Helper!$E$3,1,0))</f>
        <v>1</v>
      </c>
    </row>
    <row r="391" spans="1:12" x14ac:dyDescent="0.3">
      <c r="A391" s="3" t="s">
        <v>1222</v>
      </c>
      <c r="B391" s="3" t="s">
        <v>1221</v>
      </c>
      <c r="C391" s="3" t="s">
        <v>8</v>
      </c>
      <c r="D391" s="7">
        <v>0.95000000000000007</v>
      </c>
      <c r="E391" s="5">
        <v>80</v>
      </c>
      <c r="F391" s="5">
        <v>61</v>
      </c>
      <c r="G391" s="5">
        <v>86</v>
      </c>
      <c r="H391" s="5">
        <v>98</v>
      </c>
      <c r="I391" s="6" t="str">
        <f t="shared" si="18"/>
        <v/>
      </c>
      <c r="J391">
        <f t="shared" si="19"/>
        <v>90.65</v>
      </c>
      <c r="K391" s="4" t="str">
        <f t="shared" si="20"/>
        <v>A</v>
      </c>
      <c r="L391">
        <f>IF(Helper!$E$3="All",1,IF(C391=Helper!$E$3,1,0))</f>
        <v>1</v>
      </c>
    </row>
    <row r="392" spans="1:12" x14ac:dyDescent="0.3">
      <c r="A392" s="3" t="s">
        <v>1220</v>
      </c>
      <c r="B392" s="3" t="s">
        <v>1219</v>
      </c>
      <c r="C392" s="3" t="s">
        <v>0</v>
      </c>
      <c r="D392" s="7">
        <v>0.63</v>
      </c>
      <c r="E392" s="5">
        <v>62</v>
      </c>
      <c r="F392" s="5">
        <v>67</v>
      </c>
      <c r="G392" s="5">
        <v>74</v>
      </c>
      <c r="H392" s="5">
        <v>42</v>
      </c>
      <c r="I392" s="6">
        <f t="shared" si="18"/>
        <v>-32</v>
      </c>
      <c r="J392">
        <f t="shared" si="19"/>
        <v>52.850000000000009</v>
      </c>
      <c r="K392" s="4" t="str">
        <f t="shared" si="20"/>
        <v>F</v>
      </c>
      <c r="L392">
        <f>IF(Helper!$E$3="All",1,IF(C392=Helper!$E$3,1,0))</f>
        <v>1</v>
      </c>
    </row>
    <row r="393" spans="1:12" x14ac:dyDescent="0.3">
      <c r="A393" s="3" t="s">
        <v>1218</v>
      </c>
      <c r="B393" s="3" t="s">
        <v>1217</v>
      </c>
      <c r="C393" s="3" t="s">
        <v>0</v>
      </c>
      <c r="D393" s="7">
        <v>0.64</v>
      </c>
      <c r="E393" s="5">
        <v>58</v>
      </c>
      <c r="F393" s="5">
        <v>46</v>
      </c>
      <c r="G393" s="5">
        <v>58</v>
      </c>
      <c r="H393" s="5">
        <v>49</v>
      </c>
      <c r="I393" s="6" t="str">
        <f t="shared" si="18"/>
        <v/>
      </c>
      <c r="J393">
        <f t="shared" si="19"/>
        <v>48</v>
      </c>
      <c r="K393" s="4" t="str">
        <f t="shared" si="20"/>
        <v>F</v>
      </c>
      <c r="L393">
        <f>IF(Helper!$E$3="All",1,IF(C393=Helper!$E$3,1,0))</f>
        <v>1</v>
      </c>
    </row>
    <row r="394" spans="1:12" x14ac:dyDescent="0.3">
      <c r="A394" s="3" t="s">
        <v>1216</v>
      </c>
      <c r="B394" s="3" t="s">
        <v>1215</v>
      </c>
      <c r="C394" s="3" t="s">
        <v>3</v>
      </c>
      <c r="D394" s="7">
        <v>0.96</v>
      </c>
      <c r="E394" s="5">
        <v>84</v>
      </c>
      <c r="F394" s="5">
        <v>74</v>
      </c>
      <c r="G394" s="5">
        <v>89</v>
      </c>
      <c r="H394" s="5">
        <v>73</v>
      </c>
      <c r="I394" s="6" t="str">
        <f t="shared" si="18"/>
        <v/>
      </c>
      <c r="J394">
        <f t="shared" si="19"/>
        <v>82.7</v>
      </c>
      <c r="K394" s="4" t="str">
        <f t="shared" si="20"/>
        <v>B</v>
      </c>
      <c r="L394">
        <f>IF(Helper!$E$3="All",1,IF(C394=Helper!$E$3,1,0))</f>
        <v>1</v>
      </c>
    </row>
    <row r="395" spans="1:12" x14ac:dyDescent="0.3">
      <c r="A395" s="3" t="s">
        <v>1214</v>
      </c>
      <c r="B395" s="3" t="s">
        <v>1213</v>
      </c>
      <c r="C395" s="3" t="s">
        <v>3</v>
      </c>
      <c r="D395" s="7">
        <v>0.67</v>
      </c>
      <c r="E395" s="5">
        <v>50</v>
      </c>
      <c r="F395" s="5">
        <v>94</v>
      </c>
      <c r="G395" s="5">
        <v>47</v>
      </c>
      <c r="H395" s="5">
        <v>64</v>
      </c>
      <c r="I395" s="6">
        <f t="shared" si="18"/>
        <v>17</v>
      </c>
      <c r="J395">
        <f t="shared" si="19"/>
        <v>51.599999999999994</v>
      </c>
      <c r="K395" s="4" t="str">
        <f t="shared" si="20"/>
        <v>F</v>
      </c>
      <c r="L395">
        <f>IF(Helper!$E$3="All",1,IF(C395=Helper!$E$3,1,0))</f>
        <v>1</v>
      </c>
    </row>
    <row r="396" spans="1:12" x14ac:dyDescent="0.3">
      <c r="A396" s="3" t="s">
        <v>1212</v>
      </c>
      <c r="B396" s="3" t="s">
        <v>1211</v>
      </c>
      <c r="C396" s="3" t="s">
        <v>0</v>
      </c>
      <c r="D396" s="7">
        <v>0.87</v>
      </c>
      <c r="E396" s="5">
        <v>40</v>
      </c>
      <c r="F396" s="5">
        <v>67</v>
      </c>
      <c r="G396" s="5">
        <v>65</v>
      </c>
      <c r="H396" s="5">
        <v>74</v>
      </c>
      <c r="I396" s="6" t="str">
        <f t="shared" si="18"/>
        <v/>
      </c>
      <c r="J396">
        <f t="shared" si="19"/>
        <v>70.95</v>
      </c>
      <c r="K396" s="4" t="str">
        <f t="shared" si="20"/>
        <v>C</v>
      </c>
      <c r="L396">
        <f>IF(Helper!$E$3="All",1,IF(C396=Helper!$E$3,1,0))</f>
        <v>1</v>
      </c>
    </row>
    <row r="397" spans="1:12" x14ac:dyDescent="0.3">
      <c r="A397" s="3" t="s">
        <v>1210</v>
      </c>
      <c r="B397" s="3" t="s">
        <v>1209</v>
      </c>
      <c r="C397" s="3" t="s">
        <v>3</v>
      </c>
      <c r="D397" s="7">
        <v>0.9</v>
      </c>
      <c r="E397" s="5">
        <v>63</v>
      </c>
      <c r="F397" s="5">
        <v>53</v>
      </c>
      <c r="G397" s="5">
        <v>88</v>
      </c>
      <c r="H397" s="5">
        <v>55</v>
      </c>
      <c r="I397" s="6">
        <f t="shared" si="18"/>
        <v>-33</v>
      </c>
      <c r="J397">
        <f t="shared" si="19"/>
        <v>73</v>
      </c>
      <c r="K397" s="4" t="str">
        <f t="shared" si="20"/>
        <v>C</v>
      </c>
      <c r="L397">
        <f>IF(Helper!$E$3="All",1,IF(C397=Helper!$E$3,1,0))</f>
        <v>1</v>
      </c>
    </row>
    <row r="398" spans="1:12" x14ac:dyDescent="0.3">
      <c r="A398" s="3" t="s">
        <v>1208</v>
      </c>
      <c r="B398" s="3" t="s">
        <v>1207</v>
      </c>
      <c r="C398" s="3" t="s">
        <v>3</v>
      </c>
      <c r="D398" s="7">
        <v>0.68</v>
      </c>
      <c r="E398" s="5">
        <v>93</v>
      </c>
      <c r="F398" s="5">
        <v>95</v>
      </c>
      <c r="G398" s="5">
        <v>79</v>
      </c>
      <c r="H398" s="5">
        <v>41</v>
      </c>
      <c r="I398" s="6">
        <f t="shared" si="18"/>
        <v>-38</v>
      </c>
      <c r="J398">
        <f t="shared" si="19"/>
        <v>57.4</v>
      </c>
      <c r="K398" s="4" t="str">
        <f t="shared" si="20"/>
        <v>F</v>
      </c>
      <c r="L398">
        <f>IF(Helper!$E$3="All",1,IF(C398=Helper!$E$3,1,0))</f>
        <v>1</v>
      </c>
    </row>
    <row r="399" spans="1:12" x14ac:dyDescent="0.3">
      <c r="A399" s="3" t="s">
        <v>1206</v>
      </c>
      <c r="B399" s="3" t="s">
        <v>1205</v>
      </c>
      <c r="C399" s="3" t="s">
        <v>17</v>
      </c>
      <c r="D399" s="7">
        <v>0.88</v>
      </c>
      <c r="E399" s="5">
        <v>46</v>
      </c>
      <c r="F399" s="5">
        <v>49</v>
      </c>
      <c r="G399" s="5">
        <v>46</v>
      </c>
      <c r="H399" s="5">
        <v>99</v>
      </c>
      <c r="I399" s="6">
        <f t="shared" si="18"/>
        <v>53</v>
      </c>
      <c r="J399">
        <f t="shared" si="19"/>
        <v>72.75</v>
      </c>
      <c r="K399" s="4" t="str">
        <f t="shared" si="20"/>
        <v>C</v>
      </c>
      <c r="L399">
        <f>IF(Helper!$E$3="All",1,IF(C399=Helper!$E$3,1,0))</f>
        <v>1</v>
      </c>
    </row>
    <row r="400" spans="1:12" x14ac:dyDescent="0.3">
      <c r="A400" s="3" t="s">
        <v>1204</v>
      </c>
      <c r="B400" s="3" t="s">
        <v>1203</v>
      </c>
      <c r="C400" s="3" t="s">
        <v>3</v>
      </c>
      <c r="D400" s="7">
        <v>0.73</v>
      </c>
      <c r="E400" s="5">
        <v>64</v>
      </c>
      <c r="F400" s="5">
        <v>55</v>
      </c>
      <c r="G400" s="5">
        <v>69</v>
      </c>
      <c r="H400" s="5">
        <v>63</v>
      </c>
      <c r="I400" s="6" t="str">
        <f t="shared" si="18"/>
        <v/>
      </c>
      <c r="J400">
        <f t="shared" si="19"/>
        <v>68.75</v>
      </c>
      <c r="K400" s="4" t="str">
        <f t="shared" si="20"/>
        <v>D</v>
      </c>
      <c r="L400">
        <f>IF(Helper!$E$3="All",1,IF(C400=Helper!$E$3,1,0))</f>
        <v>1</v>
      </c>
    </row>
    <row r="401" spans="1:12" x14ac:dyDescent="0.3">
      <c r="A401" s="3" t="s">
        <v>1202</v>
      </c>
      <c r="B401" s="3" t="s">
        <v>1201</v>
      </c>
      <c r="C401" s="3" t="s">
        <v>8</v>
      </c>
      <c r="D401" s="7">
        <v>0.99</v>
      </c>
      <c r="E401" s="5">
        <v>60</v>
      </c>
      <c r="F401" s="5">
        <v>55</v>
      </c>
      <c r="G401" s="5">
        <v>46</v>
      </c>
      <c r="H401" s="5">
        <v>49</v>
      </c>
      <c r="I401" s="6" t="str">
        <f t="shared" si="18"/>
        <v/>
      </c>
      <c r="J401">
        <f t="shared" si="19"/>
        <v>53.750000000000007</v>
      </c>
      <c r="K401" s="4" t="str">
        <f t="shared" si="20"/>
        <v>F</v>
      </c>
      <c r="L401">
        <f>IF(Helper!$E$3="All",1,IF(C401=Helper!$E$3,1,0))</f>
        <v>1</v>
      </c>
    </row>
    <row r="402" spans="1:12" x14ac:dyDescent="0.3">
      <c r="A402" s="3" t="s">
        <v>1200</v>
      </c>
      <c r="B402" s="3" t="s">
        <v>1199</v>
      </c>
      <c r="C402" s="3" t="s">
        <v>3</v>
      </c>
      <c r="D402" s="7">
        <v>1</v>
      </c>
      <c r="E402" s="5">
        <v>54</v>
      </c>
      <c r="F402" s="5">
        <v>93</v>
      </c>
      <c r="G402" s="5">
        <v>42</v>
      </c>
      <c r="H402" s="5">
        <v>77</v>
      </c>
      <c r="I402" s="6">
        <f t="shared" si="18"/>
        <v>35</v>
      </c>
      <c r="J402">
        <f t="shared" si="19"/>
        <v>64.95</v>
      </c>
      <c r="K402" s="4" t="str">
        <f t="shared" si="20"/>
        <v>D</v>
      </c>
      <c r="L402">
        <f>IF(Helper!$E$3="All",1,IF(C402=Helper!$E$3,1,0))</f>
        <v>1</v>
      </c>
    </row>
    <row r="403" spans="1:12" x14ac:dyDescent="0.3">
      <c r="A403" s="3" t="s">
        <v>1198</v>
      </c>
      <c r="B403" s="3" t="s">
        <v>1197</v>
      </c>
      <c r="C403" s="3" t="s">
        <v>3</v>
      </c>
      <c r="D403" s="7">
        <v>0.81</v>
      </c>
      <c r="E403" s="5">
        <v>40</v>
      </c>
      <c r="F403" s="5">
        <v>70</v>
      </c>
      <c r="G403" s="5">
        <v>40</v>
      </c>
      <c r="H403" s="5">
        <v>61</v>
      </c>
      <c r="I403" s="6">
        <f t="shared" si="18"/>
        <v>21</v>
      </c>
      <c r="J403">
        <f t="shared" si="19"/>
        <v>55.9</v>
      </c>
      <c r="K403" s="4" t="str">
        <f t="shared" si="20"/>
        <v>F</v>
      </c>
      <c r="L403">
        <f>IF(Helper!$E$3="All",1,IF(C403=Helper!$E$3,1,0))</f>
        <v>1</v>
      </c>
    </row>
    <row r="404" spans="1:12" x14ac:dyDescent="0.3">
      <c r="A404" s="3" t="s">
        <v>1196</v>
      </c>
      <c r="B404" s="3" t="s">
        <v>1195</v>
      </c>
      <c r="C404" s="3" t="s">
        <v>0</v>
      </c>
      <c r="D404" s="7">
        <v>0.70000000000000007</v>
      </c>
      <c r="E404" s="5">
        <v>51</v>
      </c>
      <c r="F404" s="5">
        <v>81</v>
      </c>
      <c r="G404" s="5">
        <v>75</v>
      </c>
      <c r="H404" s="5">
        <v>65</v>
      </c>
      <c r="I404" s="6" t="str">
        <f t="shared" si="18"/>
        <v/>
      </c>
      <c r="J404">
        <f t="shared" si="19"/>
        <v>62.6</v>
      </c>
      <c r="K404" s="4" t="str">
        <f t="shared" si="20"/>
        <v>D</v>
      </c>
      <c r="L404">
        <f>IF(Helper!$E$3="All",1,IF(C404=Helper!$E$3,1,0))</f>
        <v>1</v>
      </c>
    </row>
    <row r="405" spans="1:12" x14ac:dyDescent="0.3">
      <c r="A405" s="3" t="s">
        <v>1194</v>
      </c>
      <c r="B405" s="3" t="s">
        <v>1193</v>
      </c>
      <c r="C405" s="3" t="s">
        <v>8</v>
      </c>
      <c r="D405" s="7">
        <v>0.82000000000000006</v>
      </c>
      <c r="E405" s="5">
        <v>97</v>
      </c>
      <c r="F405" s="5">
        <v>64</v>
      </c>
      <c r="G405" s="5">
        <v>64</v>
      </c>
      <c r="H405" s="5">
        <v>82</v>
      </c>
      <c r="I405" s="6">
        <f t="shared" si="18"/>
        <v>18</v>
      </c>
      <c r="J405">
        <f t="shared" si="19"/>
        <v>76.45</v>
      </c>
      <c r="K405" s="4" t="str">
        <f t="shared" si="20"/>
        <v>C</v>
      </c>
      <c r="L405">
        <f>IF(Helper!$E$3="All",1,IF(C405=Helper!$E$3,1,0))</f>
        <v>1</v>
      </c>
    </row>
    <row r="406" spans="1:12" x14ac:dyDescent="0.3">
      <c r="A406" s="3" t="s">
        <v>1192</v>
      </c>
      <c r="B406" s="3" t="s">
        <v>1191</v>
      </c>
      <c r="C406" s="3" t="s">
        <v>3</v>
      </c>
      <c r="D406" s="7">
        <v>0.6</v>
      </c>
      <c r="E406" s="5">
        <v>46</v>
      </c>
      <c r="F406" s="5">
        <v>52</v>
      </c>
      <c r="G406" s="5">
        <v>76</v>
      </c>
      <c r="H406" s="5">
        <v>94</v>
      </c>
      <c r="I406" s="6">
        <f t="shared" si="18"/>
        <v>18</v>
      </c>
      <c r="J406">
        <f t="shared" si="19"/>
        <v>72.899999999999991</v>
      </c>
      <c r="K406" s="4" t="str">
        <f t="shared" si="20"/>
        <v>C</v>
      </c>
      <c r="L406">
        <f>IF(Helper!$E$3="All",1,IF(C406=Helper!$E$3,1,0))</f>
        <v>1</v>
      </c>
    </row>
    <row r="407" spans="1:12" x14ac:dyDescent="0.3">
      <c r="A407" s="3" t="s">
        <v>1190</v>
      </c>
      <c r="B407" s="3" t="s">
        <v>1189</v>
      </c>
      <c r="C407" s="3" t="s">
        <v>3</v>
      </c>
      <c r="D407" s="7">
        <v>0.96</v>
      </c>
      <c r="E407" s="5">
        <v>54</v>
      </c>
      <c r="F407" s="5">
        <v>45</v>
      </c>
      <c r="G407" s="5">
        <v>40</v>
      </c>
      <c r="H407" s="5">
        <v>78</v>
      </c>
      <c r="I407" s="6">
        <f t="shared" si="18"/>
        <v>38</v>
      </c>
      <c r="J407">
        <f t="shared" si="19"/>
        <v>62.150000000000006</v>
      </c>
      <c r="K407" s="4" t="str">
        <f t="shared" si="20"/>
        <v>D</v>
      </c>
      <c r="L407">
        <f>IF(Helper!$E$3="All",1,IF(C407=Helper!$E$3,1,0))</f>
        <v>1</v>
      </c>
    </row>
    <row r="408" spans="1:12" x14ac:dyDescent="0.3">
      <c r="A408" s="3" t="s">
        <v>1188</v>
      </c>
      <c r="B408" s="3" t="s">
        <v>1187</v>
      </c>
      <c r="C408" s="3" t="s">
        <v>17</v>
      </c>
      <c r="D408" s="7">
        <v>0.8</v>
      </c>
      <c r="E408" s="5">
        <v>60</v>
      </c>
      <c r="F408" s="5">
        <v>83</v>
      </c>
      <c r="G408" s="5">
        <v>54</v>
      </c>
      <c r="H408" s="5">
        <v>66</v>
      </c>
      <c r="I408" s="6">
        <f t="shared" si="18"/>
        <v>12</v>
      </c>
      <c r="J408">
        <f t="shared" si="19"/>
        <v>65.150000000000006</v>
      </c>
      <c r="K408" s="4" t="str">
        <f t="shared" si="20"/>
        <v>D</v>
      </c>
      <c r="L408">
        <f>IF(Helper!$E$3="All",1,IF(C408=Helper!$E$3,1,0))</f>
        <v>1</v>
      </c>
    </row>
    <row r="409" spans="1:12" x14ac:dyDescent="0.3">
      <c r="A409" s="3" t="s">
        <v>1186</v>
      </c>
      <c r="B409" s="3" t="s">
        <v>1185</v>
      </c>
      <c r="C409" s="3" t="s">
        <v>3</v>
      </c>
      <c r="D409" s="7">
        <v>0.85</v>
      </c>
      <c r="E409" s="5">
        <v>58</v>
      </c>
      <c r="F409" s="5">
        <v>48</v>
      </c>
      <c r="G409" s="5">
        <v>76</v>
      </c>
      <c r="H409" s="5">
        <v>68</v>
      </c>
      <c r="I409" s="6" t="str">
        <f t="shared" si="18"/>
        <v/>
      </c>
      <c r="J409">
        <f t="shared" si="19"/>
        <v>72.900000000000006</v>
      </c>
      <c r="K409" s="4" t="str">
        <f t="shared" si="20"/>
        <v>C</v>
      </c>
      <c r="L409">
        <f>IF(Helper!$E$3="All",1,IF(C409=Helper!$E$3,1,0))</f>
        <v>1</v>
      </c>
    </row>
    <row r="410" spans="1:12" x14ac:dyDescent="0.3">
      <c r="A410" s="3" t="s">
        <v>1184</v>
      </c>
      <c r="B410" s="3" t="s">
        <v>1183</v>
      </c>
      <c r="C410" s="3" t="s">
        <v>3</v>
      </c>
      <c r="D410" s="7">
        <v>0.95000000000000007</v>
      </c>
      <c r="E410" s="5">
        <v>99</v>
      </c>
      <c r="F410" s="5">
        <v>84</v>
      </c>
      <c r="G410" s="5">
        <v>52</v>
      </c>
      <c r="H410" s="5">
        <v>86</v>
      </c>
      <c r="I410" s="6">
        <f t="shared" si="18"/>
        <v>34</v>
      </c>
      <c r="J410">
        <f t="shared" si="19"/>
        <v>74.349999999999994</v>
      </c>
      <c r="K410" s="4" t="str">
        <f t="shared" si="20"/>
        <v>C</v>
      </c>
      <c r="L410">
        <f>IF(Helper!$E$3="All",1,IF(C410=Helper!$E$3,1,0))</f>
        <v>1</v>
      </c>
    </row>
    <row r="411" spans="1:12" x14ac:dyDescent="0.3">
      <c r="A411" s="3" t="s">
        <v>1182</v>
      </c>
      <c r="B411" s="3" t="s">
        <v>1181</v>
      </c>
      <c r="C411" s="3" t="s">
        <v>17</v>
      </c>
      <c r="D411" s="7">
        <v>0.82000000000000006</v>
      </c>
      <c r="E411" s="5">
        <v>68</v>
      </c>
      <c r="F411" s="5">
        <v>75</v>
      </c>
      <c r="G411" s="5">
        <v>79</v>
      </c>
      <c r="H411" s="5">
        <v>77</v>
      </c>
      <c r="I411" s="6" t="str">
        <f t="shared" si="18"/>
        <v/>
      </c>
      <c r="J411">
        <f t="shared" si="19"/>
        <v>79.55</v>
      </c>
      <c r="K411" s="4" t="str">
        <f t="shared" si="20"/>
        <v>C</v>
      </c>
      <c r="L411">
        <f>IF(Helper!$E$3="All",1,IF(C411=Helper!$E$3,1,0))</f>
        <v>1</v>
      </c>
    </row>
    <row r="412" spans="1:12" x14ac:dyDescent="0.3">
      <c r="A412" s="3" t="s">
        <v>1180</v>
      </c>
      <c r="B412" s="3" t="s">
        <v>1179</v>
      </c>
      <c r="C412" s="3" t="s">
        <v>0</v>
      </c>
      <c r="D412" s="7">
        <v>0.6</v>
      </c>
      <c r="E412" s="5">
        <v>64</v>
      </c>
      <c r="F412" s="5">
        <v>95</v>
      </c>
      <c r="G412" s="5">
        <v>47</v>
      </c>
      <c r="H412" s="5">
        <v>59</v>
      </c>
      <c r="I412" s="6">
        <f t="shared" si="18"/>
        <v>12</v>
      </c>
      <c r="J412">
        <f t="shared" si="19"/>
        <v>50.349999999999994</v>
      </c>
      <c r="K412" s="4" t="str">
        <f t="shared" si="20"/>
        <v>F</v>
      </c>
      <c r="L412">
        <f>IF(Helper!$E$3="All",1,IF(C412=Helper!$E$3,1,0))</f>
        <v>1</v>
      </c>
    </row>
    <row r="413" spans="1:12" x14ac:dyDescent="0.3">
      <c r="A413" s="3" t="s">
        <v>1178</v>
      </c>
      <c r="B413" s="3" t="s">
        <v>1177</v>
      </c>
      <c r="C413" s="3" t="s">
        <v>3</v>
      </c>
      <c r="D413" s="7">
        <v>0.99</v>
      </c>
      <c r="E413" s="5">
        <v>72</v>
      </c>
      <c r="F413" s="5">
        <v>82</v>
      </c>
      <c r="G413" s="5">
        <v>44</v>
      </c>
      <c r="H413" s="5">
        <v>66</v>
      </c>
      <c r="I413" s="6">
        <f t="shared" si="18"/>
        <v>22</v>
      </c>
      <c r="J413">
        <f t="shared" si="19"/>
        <v>61.7</v>
      </c>
      <c r="K413" s="4" t="str">
        <f t="shared" si="20"/>
        <v>D</v>
      </c>
      <c r="L413">
        <f>IF(Helper!$E$3="All",1,IF(C413=Helper!$E$3,1,0))</f>
        <v>1</v>
      </c>
    </row>
    <row r="414" spans="1:12" x14ac:dyDescent="0.3">
      <c r="A414" s="3" t="s">
        <v>1176</v>
      </c>
      <c r="B414" s="3" t="s">
        <v>1175</v>
      </c>
      <c r="C414" s="3" t="s">
        <v>17</v>
      </c>
      <c r="D414" s="7">
        <v>0.74</v>
      </c>
      <c r="E414" s="5">
        <v>88</v>
      </c>
      <c r="F414" s="5">
        <v>59</v>
      </c>
      <c r="G414" s="5">
        <v>99</v>
      </c>
      <c r="H414" s="5">
        <v>80</v>
      </c>
      <c r="I414" s="6" t="str">
        <f t="shared" si="18"/>
        <v/>
      </c>
      <c r="J414">
        <f t="shared" si="19"/>
        <v>88.95</v>
      </c>
      <c r="K414" s="4" t="str">
        <f t="shared" si="20"/>
        <v>B</v>
      </c>
      <c r="L414">
        <f>IF(Helper!$E$3="All",1,IF(C414=Helper!$E$3,1,0))</f>
        <v>1</v>
      </c>
    </row>
    <row r="415" spans="1:12" x14ac:dyDescent="0.3">
      <c r="A415" s="3" t="s">
        <v>1174</v>
      </c>
      <c r="B415" s="3" t="s">
        <v>1173</v>
      </c>
      <c r="C415" s="3" t="s">
        <v>8</v>
      </c>
      <c r="D415" s="7">
        <v>0.8</v>
      </c>
      <c r="E415" s="5">
        <v>71</v>
      </c>
      <c r="F415" s="5">
        <v>57</v>
      </c>
      <c r="G415" s="5">
        <v>48</v>
      </c>
      <c r="H415" s="5">
        <v>93</v>
      </c>
      <c r="I415" s="6">
        <f t="shared" si="18"/>
        <v>45</v>
      </c>
      <c r="J415">
        <f t="shared" si="19"/>
        <v>72.8</v>
      </c>
      <c r="K415" s="4" t="str">
        <f t="shared" si="20"/>
        <v>C</v>
      </c>
      <c r="L415">
        <f>IF(Helper!$E$3="All",1,IF(C415=Helper!$E$3,1,0))</f>
        <v>1</v>
      </c>
    </row>
    <row r="416" spans="1:12" x14ac:dyDescent="0.3">
      <c r="A416" s="3" t="s">
        <v>1172</v>
      </c>
      <c r="B416" s="3" t="s">
        <v>1171</v>
      </c>
      <c r="C416" s="3" t="s">
        <v>0</v>
      </c>
      <c r="D416" s="7">
        <v>0.68</v>
      </c>
      <c r="E416" s="5">
        <v>88</v>
      </c>
      <c r="F416" s="5">
        <v>97</v>
      </c>
      <c r="G416" s="5">
        <v>40</v>
      </c>
      <c r="H416" s="5">
        <v>59</v>
      </c>
      <c r="I416" s="6">
        <f t="shared" si="18"/>
        <v>19</v>
      </c>
      <c r="J416">
        <f t="shared" si="19"/>
        <v>48.849999999999994</v>
      </c>
      <c r="K416" s="4" t="str">
        <f t="shared" si="20"/>
        <v>F</v>
      </c>
      <c r="L416">
        <f>IF(Helper!$E$3="All",1,IF(C416=Helper!$E$3,1,0))</f>
        <v>1</v>
      </c>
    </row>
    <row r="417" spans="1:12" x14ac:dyDescent="0.3">
      <c r="A417" s="3" t="s">
        <v>1170</v>
      </c>
      <c r="B417" s="3" t="s">
        <v>1169</v>
      </c>
      <c r="C417" s="3" t="s">
        <v>8</v>
      </c>
      <c r="D417" s="7">
        <v>0.68</v>
      </c>
      <c r="E417" s="5">
        <v>74</v>
      </c>
      <c r="F417" s="5">
        <v>82</v>
      </c>
      <c r="G417" s="5">
        <v>75</v>
      </c>
      <c r="H417" s="5">
        <v>83</v>
      </c>
      <c r="I417" s="6" t="str">
        <f t="shared" si="18"/>
        <v/>
      </c>
      <c r="J417">
        <f t="shared" si="19"/>
        <v>71</v>
      </c>
      <c r="K417" s="4" t="str">
        <f t="shared" si="20"/>
        <v>C</v>
      </c>
      <c r="L417">
        <f>IF(Helper!$E$3="All",1,IF(C417=Helper!$E$3,1,0))</f>
        <v>1</v>
      </c>
    </row>
    <row r="418" spans="1:12" x14ac:dyDescent="0.3">
      <c r="A418" s="3" t="s">
        <v>1168</v>
      </c>
      <c r="B418" s="3" t="s">
        <v>1167</v>
      </c>
      <c r="C418" s="3" t="s">
        <v>8</v>
      </c>
      <c r="D418" s="7">
        <v>0.69000000000000006</v>
      </c>
      <c r="E418" s="5">
        <v>83</v>
      </c>
      <c r="F418" s="5">
        <v>96</v>
      </c>
      <c r="G418" s="5">
        <v>74</v>
      </c>
      <c r="H418" s="5">
        <v>58</v>
      </c>
      <c r="I418" s="6" t="str">
        <f t="shared" si="18"/>
        <v/>
      </c>
      <c r="J418">
        <f t="shared" si="19"/>
        <v>61.75</v>
      </c>
      <c r="K418" s="4" t="str">
        <f t="shared" si="20"/>
        <v>D</v>
      </c>
      <c r="L418">
        <f>IF(Helper!$E$3="All",1,IF(C418=Helper!$E$3,1,0))</f>
        <v>1</v>
      </c>
    </row>
    <row r="419" spans="1:12" x14ac:dyDescent="0.3">
      <c r="A419" s="3" t="s">
        <v>1166</v>
      </c>
      <c r="B419" s="3" t="s">
        <v>1165</v>
      </c>
      <c r="C419" s="3" t="s">
        <v>17</v>
      </c>
      <c r="D419" s="7">
        <v>0.85</v>
      </c>
      <c r="E419" s="5">
        <v>77</v>
      </c>
      <c r="F419" s="5">
        <v>60</v>
      </c>
      <c r="G419" s="5">
        <v>41</v>
      </c>
      <c r="H419" s="5">
        <v>59</v>
      </c>
      <c r="I419" s="6">
        <f t="shared" si="18"/>
        <v>18</v>
      </c>
      <c r="J419">
        <f t="shared" si="19"/>
        <v>56.849999999999994</v>
      </c>
      <c r="K419" s="4" t="str">
        <f t="shared" si="20"/>
        <v>F</v>
      </c>
      <c r="L419">
        <f>IF(Helper!$E$3="All",1,IF(C419=Helper!$E$3,1,0))</f>
        <v>1</v>
      </c>
    </row>
    <row r="420" spans="1:12" x14ac:dyDescent="0.3">
      <c r="A420" s="3" t="s">
        <v>1164</v>
      </c>
      <c r="B420" s="3" t="s">
        <v>1163</v>
      </c>
      <c r="C420" s="3" t="s">
        <v>3</v>
      </c>
      <c r="D420" s="7">
        <v>1</v>
      </c>
      <c r="E420" s="5">
        <v>65</v>
      </c>
      <c r="F420" s="5">
        <v>43</v>
      </c>
      <c r="G420" s="5">
        <v>79</v>
      </c>
      <c r="H420" s="5">
        <v>74</v>
      </c>
      <c r="I420" s="6" t="str">
        <f t="shared" si="18"/>
        <v/>
      </c>
      <c r="J420">
        <f t="shared" si="19"/>
        <v>76.599999999999994</v>
      </c>
      <c r="K420" s="4" t="str">
        <f t="shared" si="20"/>
        <v>C</v>
      </c>
      <c r="L420">
        <f>IF(Helper!$E$3="All",1,IF(C420=Helper!$E$3,1,0))</f>
        <v>1</v>
      </c>
    </row>
    <row r="421" spans="1:12" x14ac:dyDescent="0.3">
      <c r="A421" s="3" t="s">
        <v>1162</v>
      </c>
      <c r="B421" s="3" t="s">
        <v>1161</v>
      </c>
      <c r="C421" s="3" t="s">
        <v>17</v>
      </c>
      <c r="D421" s="7">
        <v>0.94000000000000006</v>
      </c>
      <c r="E421" s="5">
        <v>50</v>
      </c>
      <c r="F421" s="5">
        <v>89</v>
      </c>
      <c r="G421" s="5">
        <v>62</v>
      </c>
      <c r="H421" s="5">
        <v>86</v>
      </c>
      <c r="I421" s="6">
        <f t="shared" si="18"/>
        <v>24</v>
      </c>
      <c r="J421">
        <f t="shared" si="19"/>
        <v>76.150000000000006</v>
      </c>
      <c r="K421" s="4" t="str">
        <f t="shared" si="20"/>
        <v>C</v>
      </c>
      <c r="L421">
        <f>IF(Helper!$E$3="All",1,IF(C421=Helper!$E$3,1,0))</f>
        <v>1</v>
      </c>
    </row>
    <row r="422" spans="1:12" x14ac:dyDescent="0.3">
      <c r="A422" s="3" t="s">
        <v>1160</v>
      </c>
      <c r="B422" s="3" t="s">
        <v>1159</v>
      </c>
      <c r="C422" s="3" t="s">
        <v>17</v>
      </c>
      <c r="D422" s="7">
        <v>0.84</v>
      </c>
      <c r="E422" s="5">
        <v>74</v>
      </c>
      <c r="F422" s="5">
        <v>72</v>
      </c>
      <c r="G422" s="5">
        <v>48</v>
      </c>
      <c r="H422" s="5">
        <v>41</v>
      </c>
      <c r="I422" s="6" t="str">
        <f t="shared" si="18"/>
        <v/>
      </c>
      <c r="J422">
        <f t="shared" si="19"/>
        <v>52.9</v>
      </c>
      <c r="K422" s="4" t="str">
        <f t="shared" si="20"/>
        <v>F</v>
      </c>
      <c r="L422">
        <f>IF(Helper!$E$3="All",1,IF(C422=Helper!$E$3,1,0))</f>
        <v>1</v>
      </c>
    </row>
    <row r="423" spans="1:12" x14ac:dyDescent="0.3">
      <c r="A423" s="3" t="s">
        <v>1158</v>
      </c>
      <c r="B423" s="3" t="s">
        <v>1157</v>
      </c>
      <c r="C423" s="3" t="s">
        <v>17</v>
      </c>
      <c r="D423" s="7">
        <v>0.85</v>
      </c>
      <c r="E423" s="5">
        <v>47</v>
      </c>
      <c r="F423" s="5">
        <v>66</v>
      </c>
      <c r="G423" s="5">
        <v>73</v>
      </c>
      <c r="H423" s="5">
        <v>69</v>
      </c>
      <c r="I423" s="6" t="str">
        <f t="shared" si="18"/>
        <v/>
      </c>
      <c r="J423">
        <f t="shared" si="19"/>
        <v>72.45</v>
      </c>
      <c r="K423" s="4" t="str">
        <f t="shared" si="20"/>
        <v>C</v>
      </c>
      <c r="L423">
        <f>IF(Helper!$E$3="All",1,IF(C423=Helper!$E$3,1,0))</f>
        <v>1</v>
      </c>
    </row>
    <row r="424" spans="1:12" x14ac:dyDescent="0.3">
      <c r="A424" s="3" t="s">
        <v>1156</v>
      </c>
      <c r="B424" s="3" t="s">
        <v>1155</v>
      </c>
      <c r="C424" s="3" t="s">
        <v>17</v>
      </c>
      <c r="D424" s="7">
        <v>0.70000000000000007</v>
      </c>
      <c r="E424" s="5">
        <v>85</v>
      </c>
      <c r="F424" s="5">
        <v>46</v>
      </c>
      <c r="G424" s="5">
        <v>85</v>
      </c>
      <c r="H424" s="5">
        <v>92</v>
      </c>
      <c r="I424" s="6" t="str">
        <f t="shared" si="18"/>
        <v/>
      </c>
      <c r="J424">
        <f t="shared" si="19"/>
        <v>77.349999999999994</v>
      </c>
      <c r="K424" s="4" t="str">
        <f t="shared" si="20"/>
        <v>C</v>
      </c>
      <c r="L424">
        <f>IF(Helper!$E$3="All",1,IF(C424=Helper!$E$3,1,0))</f>
        <v>1</v>
      </c>
    </row>
    <row r="425" spans="1:12" x14ac:dyDescent="0.3">
      <c r="A425" s="3" t="s">
        <v>1154</v>
      </c>
      <c r="B425" s="3" t="s">
        <v>1153</v>
      </c>
      <c r="C425" s="3" t="s">
        <v>0</v>
      </c>
      <c r="D425" s="7">
        <v>0.97</v>
      </c>
      <c r="E425" s="5">
        <v>53</v>
      </c>
      <c r="F425" s="5">
        <v>45</v>
      </c>
      <c r="G425" s="5">
        <v>53</v>
      </c>
      <c r="H425" s="5">
        <v>73</v>
      </c>
      <c r="I425" s="6">
        <f t="shared" si="18"/>
        <v>20</v>
      </c>
      <c r="J425">
        <f t="shared" si="19"/>
        <v>65.3</v>
      </c>
      <c r="K425" s="4" t="str">
        <f t="shared" si="20"/>
        <v>D</v>
      </c>
      <c r="L425">
        <f>IF(Helper!$E$3="All",1,IF(C425=Helper!$E$3,1,0))</f>
        <v>1</v>
      </c>
    </row>
    <row r="426" spans="1:12" x14ac:dyDescent="0.3">
      <c r="A426" s="3" t="s">
        <v>1152</v>
      </c>
      <c r="B426" s="3" t="s">
        <v>1151</v>
      </c>
      <c r="C426" s="3" t="s">
        <v>3</v>
      </c>
      <c r="D426" s="7">
        <v>0.61</v>
      </c>
      <c r="E426" s="5">
        <v>49</v>
      </c>
      <c r="F426" s="5">
        <v>54</v>
      </c>
      <c r="G426" s="5">
        <v>43</v>
      </c>
      <c r="H426" s="5">
        <v>61</v>
      </c>
      <c r="I426" s="6">
        <f t="shared" si="18"/>
        <v>18</v>
      </c>
      <c r="J426">
        <f t="shared" si="19"/>
        <v>46.75</v>
      </c>
      <c r="K426" s="4" t="str">
        <f t="shared" si="20"/>
        <v>F</v>
      </c>
      <c r="L426">
        <f>IF(Helper!$E$3="All",1,IF(C426=Helper!$E$3,1,0))</f>
        <v>1</v>
      </c>
    </row>
    <row r="427" spans="1:12" x14ac:dyDescent="0.3">
      <c r="A427" s="3" t="s">
        <v>1150</v>
      </c>
      <c r="B427" s="3" t="s">
        <v>1149</v>
      </c>
      <c r="C427" s="3" t="s">
        <v>8</v>
      </c>
      <c r="D427" s="7">
        <v>0.66</v>
      </c>
      <c r="E427" s="5">
        <v>41</v>
      </c>
      <c r="F427" s="5">
        <v>57</v>
      </c>
      <c r="G427" s="5">
        <v>69</v>
      </c>
      <c r="H427" s="5">
        <v>42</v>
      </c>
      <c r="I427" s="6">
        <f t="shared" si="18"/>
        <v>-27</v>
      </c>
      <c r="J427">
        <f t="shared" si="19"/>
        <v>49.3</v>
      </c>
      <c r="K427" s="4" t="str">
        <f t="shared" si="20"/>
        <v>F</v>
      </c>
      <c r="L427">
        <f>IF(Helper!$E$3="All",1,IF(C427=Helper!$E$3,1,0))</f>
        <v>1</v>
      </c>
    </row>
    <row r="428" spans="1:12" x14ac:dyDescent="0.3">
      <c r="A428" s="3" t="s">
        <v>1148</v>
      </c>
      <c r="B428" s="3" t="s">
        <v>1147</v>
      </c>
      <c r="C428" s="3" t="s">
        <v>8</v>
      </c>
      <c r="D428" s="7">
        <v>0.77</v>
      </c>
      <c r="E428" s="5">
        <v>85</v>
      </c>
      <c r="F428" s="5">
        <v>71</v>
      </c>
      <c r="G428" s="5">
        <v>70</v>
      </c>
      <c r="H428" s="5">
        <v>45</v>
      </c>
      <c r="I428" s="6">
        <f t="shared" si="18"/>
        <v>-25</v>
      </c>
      <c r="J428">
        <f t="shared" si="19"/>
        <v>63.8</v>
      </c>
      <c r="K428" s="4" t="str">
        <f t="shared" si="20"/>
        <v>D</v>
      </c>
      <c r="L428">
        <f>IF(Helper!$E$3="All",1,IF(C428=Helper!$E$3,1,0))</f>
        <v>1</v>
      </c>
    </row>
    <row r="429" spans="1:12" x14ac:dyDescent="0.3">
      <c r="A429" s="3" t="s">
        <v>1146</v>
      </c>
      <c r="B429" s="3" t="s">
        <v>1145</v>
      </c>
      <c r="C429" s="3" t="s">
        <v>3</v>
      </c>
      <c r="D429" s="7">
        <v>0.86</v>
      </c>
      <c r="E429" s="5">
        <v>48</v>
      </c>
      <c r="F429" s="5">
        <v>95</v>
      </c>
      <c r="G429" s="5">
        <v>77</v>
      </c>
      <c r="H429" s="5">
        <v>54</v>
      </c>
      <c r="I429" s="6" t="str">
        <f t="shared" si="18"/>
        <v/>
      </c>
      <c r="J429">
        <f t="shared" si="19"/>
        <v>69.550000000000011</v>
      </c>
      <c r="K429" s="4" t="str">
        <f t="shared" si="20"/>
        <v>D</v>
      </c>
      <c r="L429">
        <f>IF(Helper!$E$3="All",1,IF(C429=Helper!$E$3,1,0))</f>
        <v>1</v>
      </c>
    </row>
    <row r="430" spans="1:12" x14ac:dyDescent="0.3">
      <c r="A430" s="3" t="s">
        <v>1144</v>
      </c>
      <c r="B430" s="3" t="s">
        <v>1143</v>
      </c>
      <c r="C430" s="3" t="s">
        <v>8</v>
      </c>
      <c r="D430" s="7">
        <v>0.93</v>
      </c>
      <c r="E430" s="5">
        <v>42</v>
      </c>
      <c r="F430" s="5">
        <v>50</v>
      </c>
      <c r="G430" s="5">
        <v>50</v>
      </c>
      <c r="H430" s="5">
        <v>66</v>
      </c>
      <c r="I430" s="6">
        <f t="shared" si="18"/>
        <v>16</v>
      </c>
      <c r="J430">
        <f t="shared" si="19"/>
        <v>61</v>
      </c>
      <c r="K430" s="4" t="str">
        <f t="shared" si="20"/>
        <v>D</v>
      </c>
      <c r="L430">
        <f>IF(Helper!$E$3="All",1,IF(C430=Helper!$E$3,1,0))</f>
        <v>1</v>
      </c>
    </row>
    <row r="431" spans="1:12" x14ac:dyDescent="0.3">
      <c r="A431" s="3" t="s">
        <v>1142</v>
      </c>
      <c r="B431" s="3" t="s">
        <v>1141</v>
      </c>
      <c r="C431" s="3" t="s">
        <v>3</v>
      </c>
      <c r="D431" s="7">
        <v>0.86</v>
      </c>
      <c r="E431" s="5">
        <v>60</v>
      </c>
      <c r="F431" s="5">
        <v>59</v>
      </c>
      <c r="G431" s="5">
        <v>74</v>
      </c>
      <c r="H431" s="5">
        <v>49</v>
      </c>
      <c r="I431" s="6" t="str">
        <f t="shared" si="18"/>
        <v/>
      </c>
      <c r="J431">
        <f t="shared" si="19"/>
        <v>65.150000000000006</v>
      </c>
      <c r="K431" s="4" t="str">
        <f t="shared" si="20"/>
        <v>D</v>
      </c>
      <c r="L431">
        <f>IF(Helper!$E$3="All",1,IF(C431=Helper!$E$3,1,0))</f>
        <v>1</v>
      </c>
    </row>
    <row r="432" spans="1:12" x14ac:dyDescent="0.3">
      <c r="A432" s="3" t="s">
        <v>1140</v>
      </c>
      <c r="B432" s="3" t="s">
        <v>1139</v>
      </c>
      <c r="C432" s="3" t="s">
        <v>8</v>
      </c>
      <c r="D432" s="7">
        <v>0.76</v>
      </c>
      <c r="E432" s="5">
        <v>65</v>
      </c>
      <c r="F432" s="5">
        <v>63</v>
      </c>
      <c r="G432" s="5">
        <v>47</v>
      </c>
      <c r="H432" s="5">
        <v>48</v>
      </c>
      <c r="I432" s="6" t="str">
        <f t="shared" si="18"/>
        <v/>
      </c>
      <c r="J432">
        <f t="shared" si="19"/>
        <v>54.399999999999991</v>
      </c>
      <c r="K432" s="4" t="str">
        <f t="shared" si="20"/>
        <v>F</v>
      </c>
      <c r="L432">
        <f>IF(Helper!$E$3="All",1,IF(C432=Helper!$E$3,1,0))</f>
        <v>1</v>
      </c>
    </row>
    <row r="433" spans="1:12" x14ac:dyDescent="0.3">
      <c r="A433" s="3" t="s">
        <v>1138</v>
      </c>
      <c r="B433" s="3" t="s">
        <v>1137</v>
      </c>
      <c r="C433" s="3" t="s">
        <v>17</v>
      </c>
      <c r="D433" s="7">
        <v>0.83000000000000007</v>
      </c>
      <c r="E433" s="5">
        <v>47</v>
      </c>
      <c r="F433" s="5">
        <v>54</v>
      </c>
      <c r="G433" s="5">
        <v>42</v>
      </c>
      <c r="H433" s="5">
        <v>72</v>
      </c>
      <c r="I433" s="6">
        <f t="shared" si="18"/>
        <v>30</v>
      </c>
      <c r="J433">
        <f t="shared" si="19"/>
        <v>60.65</v>
      </c>
      <c r="K433" s="4" t="str">
        <f t="shared" si="20"/>
        <v>D</v>
      </c>
      <c r="L433">
        <f>IF(Helper!$E$3="All",1,IF(C433=Helper!$E$3,1,0))</f>
        <v>1</v>
      </c>
    </row>
    <row r="434" spans="1:12" x14ac:dyDescent="0.3">
      <c r="A434" s="3" t="s">
        <v>1136</v>
      </c>
      <c r="B434" s="3" t="s">
        <v>1135</v>
      </c>
      <c r="C434" s="3" t="s">
        <v>8</v>
      </c>
      <c r="D434" s="7">
        <v>0.84</v>
      </c>
      <c r="E434" s="5">
        <v>87</v>
      </c>
      <c r="F434" s="5">
        <v>87</v>
      </c>
      <c r="G434" s="5">
        <v>53</v>
      </c>
      <c r="H434" s="5">
        <v>71</v>
      </c>
      <c r="I434" s="6">
        <f t="shared" si="18"/>
        <v>18</v>
      </c>
      <c r="J434">
        <f t="shared" si="19"/>
        <v>68.300000000000011</v>
      </c>
      <c r="K434" s="4" t="str">
        <f t="shared" si="20"/>
        <v>D</v>
      </c>
      <c r="L434">
        <f>IF(Helper!$E$3="All",1,IF(C434=Helper!$E$3,1,0))</f>
        <v>1</v>
      </c>
    </row>
    <row r="435" spans="1:12" x14ac:dyDescent="0.3">
      <c r="A435" s="3" t="s">
        <v>1134</v>
      </c>
      <c r="B435" s="3" t="s">
        <v>1133</v>
      </c>
      <c r="C435" s="3" t="s">
        <v>3</v>
      </c>
      <c r="D435" s="7">
        <v>0.66</v>
      </c>
      <c r="E435" s="5">
        <v>41</v>
      </c>
      <c r="F435" s="5">
        <v>46</v>
      </c>
      <c r="G435" s="5">
        <v>99</v>
      </c>
      <c r="H435" s="5">
        <v>87</v>
      </c>
      <c r="I435" s="6" t="str">
        <f t="shared" si="18"/>
        <v/>
      </c>
      <c r="J435">
        <f t="shared" si="19"/>
        <v>78.75</v>
      </c>
      <c r="K435" s="4" t="str">
        <f t="shared" si="20"/>
        <v>C</v>
      </c>
      <c r="L435">
        <f>IF(Helper!$E$3="All",1,IF(C435=Helper!$E$3,1,0))</f>
        <v>1</v>
      </c>
    </row>
    <row r="436" spans="1:12" x14ac:dyDescent="0.3">
      <c r="A436" s="3" t="s">
        <v>1132</v>
      </c>
      <c r="B436" s="3" t="s">
        <v>1131</v>
      </c>
      <c r="C436" s="3" t="s">
        <v>3</v>
      </c>
      <c r="D436" s="7">
        <v>0.65</v>
      </c>
      <c r="E436" s="5">
        <v>45</v>
      </c>
      <c r="F436" s="5">
        <v>60</v>
      </c>
      <c r="G436" s="5">
        <v>52</v>
      </c>
      <c r="H436" s="5">
        <v>45</v>
      </c>
      <c r="I436" s="6" t="str">
        <f t="shared" si="18"/>
        <v/>
      </c>
      <c r="J436">
        <f t="shared" si="19"/>
        <v>44.05</v>
      </c>
      <c r="K436" s="4" t="str">
        <f t="shared" si="20"/>
        <v>F</v>
      </c>
      <c r="L436">
        <f>IF(Helper!$E$3="All",1,IF(C436=Helper!$E$3,1,0))</f>
        <v>1</v>
      </c>
    </row>
    <row r="437" spans="1:12" x14ac:dyDescent="0.3">
      <c r="A437" s="3" t="s">
        <v>1130</v>
      </c>
      <c r="B437" s="3" t="s">
        <v>1129</v>
      </c>
      <c r="C437" s="3" t="s">
        <v>3</v>
      </c>
      <c r="D437" s="7">
        <v>0.83000000000000007</v>
      </c>
      <c r="E437" s="5">
        <v>67</v>
      </c>
      <c r="F437" s="5">
        <v>81</v>
      </c>
      <c r="G437" s="5">
        <v>84</v>
      </c>
      <c r="H437" s="5">
        <v>80</v>
      </c>
      <c r="I437" s="6" t="str">
        <f t="shared" si="18"/>
        <v/>
      </c>
      <c r="J437">
        <f t="shared" si="19"/>
        <v>83</v>
      </c>
      <c r="K437" s="4" t="str">
        <f t="shared" si="20"/>
        <v>B</v>
      </c>
      <c r="L437">
        <f>IF(Helper!$E$3="All",1,IF(C437=Helper!$E$3,1,0))</f>
        <v>1</v>
      </c>
    </row>
    <row r="438" spans="1:12" x14ac:dyDescent="0.3">
      <c r="A438" s="3" t="s">
        <v>1128</v>
      </c>
      <c r="B438" s="3" t="s">
        <v>1127</v>
      </c>
      <c r="C438" s="3" t="s">
        <v>3</v>
      </c>
      <c r="D438" s="7">
        <v>0.92</v>
      </c>
      <c r="E438" s="5">
        <v>92</v>
      </c>
      <c r="F438" s="5">
        <v>65</v>
      </c>
      <c r="G438" s="5">
        <v>71</v>
      </c>
      <c r="H438" s="5">
        <v>98</v>
      </c>
      <c r="I438" s="6">
        <f t="shared" si="18"/>
        <v>27</v>
      </c>
      <c r="J438">
        <f t="shared" si="19"/>
        <v>85.45</v>
      </c>
      <c r="K438" s="4" t="str">
        <f t="shared" si="20"/>
        <v>B</v>
      </c>
      <c r="L438">
        <f>IF(Helper!$E$3="All",1,IF(C438=Helper!$E$3,1,0))</f>
        <v>1</v>
      </c>
    </row>
    <row r="439" spans="1:12" x14ac:dyDescent="0.3">
      <c r="A439" s="3" t="s">
        <v>1126</v>
      </c>
      <c r="B439" s="3" t="s">
        <v>1125</v>
      </c>
      <c r="C439" s="3" t="s">
        <v>3</v>
      </c>
      <c r="D439" s="7">
        <v>0.88</v>
      </c>
      <c r="E439" s="5">
        <v>68</v>
      </c>
      <c r="F439" s="5">
        <v>83</v>
      </c>
      <c r="G439" s="5">
        <v>73</v>
      </c>
      <c r="H439" s="5">
        <v>75</v>
      </c>
      <c r="I439" s="6" t="str">
        <f t="shared" si="18"/>
        <v/>
      </c>
      <c r="J439">
        <f t="shared" si="19"/>
        <v>76.75</v>
      </c>
      <c r="K439" s="4" t="str">
        <f t="shared" si="20"/>
        <v>C</v>
      </c>
      <c r="L439">
        <f>IF(Helper!$E$3="All",1,IF(C439=Helper!$E$3,1,0))</f>
        <v>1</v>
      </c>
    </row>
    <row r="440" spans="1:12" x14ac:dyDescent="0.3">
      <c r="A440" s="3" t="s">
        <v>1124</v>
      </c>
      <c r="B440" s="3" t="s">
        <v>1123</v>
      </c>
      <c r="C440" s="3" t="s">
        <v>0</v>
      </c>
      <c r="D440" s="7">
        <v>0.81</v>
      </c>
      <c r="E440" s="5">
        <v>65</v>
      </c>
      <c r="F440" s="5">
        <v>95</v>
      </c>
      <c r="G440" s="5">
        <v>84</v>
      </c>
      <c r="H440" s="5">
        <v>98</v>
      </c>
      <c r="I440" s="6">
        <f t="shared" si="18"/>
        <v>14</v>
      </c>
      <c r="J440">
        <f t="shared" si="19"/>
        <v>90.800000000000011</v>
      </c>
      <c r="K440" s="4" t="str">
        <f t="shared" si="20"/>
        <v>A</v>
      </c>
      <c r="L440">
        <f>IF(Helper!$E$3="All",1,IF(C440=Helper!$E$3,1,0))</f>
        <v>1</v>
      </c>
    </row>
    <row r="441" spans="1:12" x14ac:dyDescent="0.3">
      <c r="A441" s="3" t="s">
        <v>1122</v>
      </c>
      <c r="B441" s="3" t="s">
        <v>1121</v>
      </c>
      <c r="C441" s="3" t="s">
        <v>0</v>
      </c>
      <c r="D441" s="7">
        <v>0.85</v>
      </c>
      <c r="E441" s="5">
        <v>64</v>
      </c>
      <c r="F441" s="5">
        <v>53</v>
      </c>
      <c r="G441" s="5">
        <v>100</v>
      </c>
      <c r="H441" s="5">
        <v>99</v>
      </c>
      <c r="I441" s="6" t="str">
        <f t="shared" si="18"/>
        <v/>
      </c>
      <c r="J441">
        <f t="shared" si="19"/>
        <v>95.45</v>
      </c>
      <c r="K441" s="4" t="str">
        <f t="shared" si="20"/>
        <v>A</v>
      </c>
      <c r="L441">
        <f>IF(Helper!$E$3="All",1,IF(C441=Helper!$E$3,1,0))</f>
        <v>1</v>
      </c>
    </row>
    <row r="442" spans="1:12" x14ac:dyDescent="0.3">
      <c r="A442" s="3" t="s">
        <v>1120</v>
      </c>
      <c r="B442" s="3" t="s">
        <v>1119</v>
      </c>
      <c r="C442" s="3" t="s">
        <v>8</v>
      </c>
      <c r="D442" s="7">
        <v>0.87</v>
      </c>
      <c r="E442" s="5">
        <v>51</v>
      </c>
      <c r="F442" s="5">
        <v>96</v>
      </c>
      <c r="G442" s="5">
        <v>58</v>
      </c>
      <c r="H442" s="5">
        <v>41</v>
      </c>
      <c r="I442" s="6" t="str">
        <f t="shared" si="18"/>
        <v/>
      </c>
      <c r="J442">
        <f t="shared" si="19"/>
        <v>56.949999999999996</v>
      </c>
      <c r="K442" s="4" t="str">
        <f t="shared" si="20"/>
        <v>F</v>
      </c>
      <c r="L442">
        <f>IF(Helper!$E$3="All",1,IF(C442=Helper!$E$3,1,0))</f>
        <v>1</v>
      </c>
    </row>
    <row r="443" spans="1:12" x14ac:dyDescent="0.3">
      <c r="A443" s="3" t="s">
        <v>1118</v>
      </c>
      <c r="B443" s="3" t="s">
        <v>1117</v>
      </c>
      <c r="C443" s="3" t="s">
        <v>3</v>
      </c>
      <c r="D443" s="7">
        <v>0.8</v>
      </c>
      <c r="E443" s="5">
        <v>44</v>
      </c>
      <c r="F443" s="5">
        <v>76</v>
      </c>
      <c r="G443" s="5">
        <v>98</v>
      </c>
      <c r="H443" s="5">
        <v>68</v>
      </c>
      <c r="I443" s="6" t="str">
        <f t="shared" si="18"/>
        <v/>
      </c>
      <c r="J443">
        <f t="shared" si="19"/>
        <v>82.4</v>
      </c>
      <c r="K443" s="4" t="str">
        <f t="shared" si="20"/>
        <v>B</v>
      </c>
      <c r="L443">
        <f>IF(Helper!$E$3="All",1,IF(C443=Helper!$E$3,1,0))</f>
        <v>1</v>
      </c>
    </row>
    <row r="444" spans="1:12" x14ac:dyDescent="0.3">
      <c r="A444" s="3" t="s">
        <v>1116</v>
      </c>
      <c r="B444" s="3" t="s">
        <v>1115</v>
      </c>
      <c r="C444" s="3" t="s">
        <v>8</v>
      </c>
      <c r="D444" s="7">
        <v>0.66</v>
      </c>
      <c r="E444" s="5">
        <v>73</v>
      </c>
      <c r="F444" s="5">
        <v>97</v>
      </c>
      <c r="G444" s="5">
        <v>77</v>
      </c>
      <c r="H444" s="5">
        <v>43</v>
      </c>
      <c r="I444" s="6">
        <f t="shared" si="18"/>
        <v>-34</v>
      </c>
      <c r="J444">
        <f t="shared" si="19"/>
        <v>56.5</v>
      </c>
      <c r="K444" s="4" t="str">
        <f t="shared" si="20"/>
        <v>F</v>
      </c>
      <c r="L444">
        <f>IF(Helper!$E$3="All",1,IF(C444=Helper!$E$3,1,0))</f>
        <v>1</v>
      </c>
    </row>
    <row r="445" spans="1:12" x14ac:dyDescent="0.3">
      <c r="A445" s="3" t="s">
        <v>1114</v>
      </c>
      <c r="B445" s="3" t="s">
        <v>1113</v>
      </c>
      <c r="C445" s="3" t="s">
        <v>3</v>
      </c>
      <c r="D445" s="7">
        <v>0.76</v>
      </c>
      <c r="E445" s="5">
        <v>87</v>
      </c>
      <c r="F445" s="5">
        <v>60</v>
      </c>
      <c r="G445" s="5">
        <v>55</v>
      </c>
      <c r="H445" s="5">
        <v>40</v>
      </c>
      <c r="I445" s="6" t="str">
        <f t="shared" si="18"/>
        <v/>
      </c>
      <c r="J445">
        <f t="shared" si="19"/>
        <v>55.35</v>
      </c>
      <c r="K445" s="4" t="str">
        <f t="shared" si="20"/>
        <v>F</v>
      </c>
      <c r="L445">
        <f>IF(Helper!$E$3="All",1,IF(C445=Helper!$E$3,1,0))</f>
        <v>1</v>
      </c>
    </row>
    <row r="446" spans="1:12" x14ac:dyDescent="0.3">
      <c r="A446" s="3" t="s">
        <v>1112</v>
      </c>
      <c r="B446" s="3" t="s">
        <v>1111</v>
      </c>
      <c r="C446" s="3" t="s">
        <v>3</v>
      </c>
      <c r="D446" s="7">
        <v>0.79</v>
      </c>
      <c r="E446" s="5">
        <v>76</v>
      </c>
      <c r="F446" s="5">
        <v>57</v>
      </c>
      <c r="G446" s="5">
        <v>41</v>
      </c>
      <c r="H446" s="5">
        <v>58</v>
      </c>
      <c r="I446" s="6">
        <f t="shared" si="18"/>
        <v>17</v>
      </c>
      <c r="J446">
        <f t="shared" si="19"/>
        <v>56.25</v>
      </c>
      <c r="K446" s="4" t="str">
        <f t="shared" si="20"/>
        <v>F</v>
      </c>
      <c r="L446">
        <f>IF(Helper!$E$3="All",1,IF(C446=Helper!$E$3,1,0))</f>
        <v>1</v>
      </c>
    </row>
    <row r="447" spans="1:12" x14ac:dyDescent="0.3">
      <c r="A447" s="3" t="s">
        <v>1110</v>
      </c>
      <c r="B447" s="3" t="s">
        <v>1109</v>
      </c>
      <c r="C447" s="3" t="s">
        <v>0</v>
      </c>
      <c r="D447" s="7">
        <v>1</v>
      </c>
      <c r="E447" s="5">
        <v>54</v>
      </c>
      <c r="F447" s="5">
        <v>44</v>
      </c>
      <c r="G447" s="5">
        <v>79</v>
      </c>
      <c r="H447" s="5">
        <v>65</v>
      </c>
      <c r="I447" s="6" t="str">
        <f t="shared" si="18"/>
        <v/>
      </c>
      <c r="J447">
        <f t="shared" si="19"/>
        <v>72.5</v>
      </c>
      <c r="K447" s="4" t="str">
        <f t="shared" si="20"/>
        <v>C</v>
      </c>
      <c r="L447">
        <f>IF(Helper!$E$3="All",1,IF(C447=Helper!$E$3,1,0))</f>
        <v>1</v>
      </c>
    </row>
    <row r="448" spans="1:12" x14ac:dyDescent="0.3">
      <c r="A448" s="3" t="s">
        <v>1108</v>
      </c>
      <c r="B448" s="3" t="s">
        <v>1107</v>
      </c>
      <c r="C448" s="3" t="s">
        <v>0</v>
      </c>
      <c r="D448" s="7">
        <v>0.79</v>
      </c>
      <c r="E448" s="5">
        <v>83</v>
      </c>
      <c r="F448" s="5">
        <v>42</v>
      </c>
      <c r="G448" s="5">
        <v>56</v>
      </c>
      <c r="H448" s="5">
        <v>64</v>
      </c>
      <c r="I448" s="6" t="str">
        <f t="shared" si="18"/>
        <v/>
      </c>
      <c r="J448">
        <f t="shared" si="19"/>
        <v>64.25</v>
      </c>
      <c r="K448" s="4" t="str">
        <f t="shared" si="20"/>
        <v>D</v>
      </c>
      <c r="L448">
        <f>IF(Helper!$E$3="All",1,IF(C448=Helper!$E$3,1,0))</f>
        <v>1</v>
      </c>
    </row>
    <row r="449" spans="1:12" x14ac:dyDescent="0.3">
      <c r="A449" s="3" t="s">
        <v>1106</v>
      </c>
      <c r="B449" s="3" t="s">
        <v>1105</v>
      </c>
      <c r="C449" s="3" t="s">
        <v>17</v>
      </c>
      <c r="D449" s="7">
        <v>0.81</v>
      </c>
      <c r="E449" s="5">
        <v>75</v>
      </c>
      <c r="F449" s="5">
        <v>62</v>
      </c>
      <c r="G449" s="5">
        <v>94</v>
      </c>
      <c r="H449" s="5">
        <v>49</v>
      </c>
      <c r="I449" s="6">
        <f t="shared" si="18"/>
        <v>-45</v>
      </c>
      <c r="J449">
        <f t="shared" si="19"/>
        <v>74.05</v>
      </c>
      <c r="K449" s="4" t="str">
        <f t="shared" si="20"/>
        <v>C</v>
      </c>
      <c r="L449">
        <f>IF(Helper!$E$3="All",1,IF(C449=Helper!$E$3,1,0))</f>
        <v>1</v>
      </c>
    </row>
    <row r="450" spans="1:12" x14ac:dyDescent="0.3">
      <c r="A450" s="3" t="s">
        <v>1104</v>
      </c>
      <c r="B450" s="3" t="s">
        <v>1103</v>
      </c>
      <c r="C450" s="3" t="s">
        <v>0</v>
      </c>
      <c r="D450" s="7">
        <v>0.87</v>
      </c>
      <c r="E450" s="5">
        <v>54</v>
      </c>
      <c r="F450" s="5">
        <v>65</v>
      </c>
      <c r="G450" s="5">
        <v>73</v>
      </c>
      <c r="H450" s="5">
        <v>92</v>
      </c>
      <c r="I450" s="6">
        <f t="shared" ref="I450:I513" si="21">IF(H450&gt;G450*1.15,H450-G450,IF(H450&lt;G450*0.65,H450-G450,""))</f>
        <v>19</v>
      </c>
      <c r="J450">
        <f t="shared" ref="J450:J513" si="22">IF(ISBLANK(D450),"",IF(D450&gt;0.7,10,0)+(E450/100*5)+(F450/100*5)+(G450/100*40)+(H450/100*40))</f>
        <v>81.95</v>
      </c>
      <c r="K450" s="4" t="str">
        <f t="shared" ref="K450:K513" si="23">IF(J450&gt;=90,"A",IF(J450&gt;=80,"B",IF(J450&gt;=70,"C",IF(J450&gt;=60,"D","F"))))</f>
        <v>B</v>
      </c>
      <c r="L450">
        <f>IF(Helper!$E$3="All",1,IF(C450=Helper!$E$3,1,0))</f>
        <v>1</v>
      </c>
    </row>
    <row r="451" spans="1:12" x14ac:dyDescent="0.3">
      <c r="A451" s="3" t="s">
        <v>1102</v>
      </c>
      <c r="B451" s="3" t="s">
        <v>1101</v>
      </c>
      <c r="C451" s="3" t="s">
        <v>17</v>
      </c>
      <c r="D451" s="7">
        <v>0.99</v>
      </c>
      <c r="E451" s="5">
        <v>82</v>
      </c>
      <c r="F451" s="5">
        <v>76</v>
      </c>
      <c r="G451" s="5">
        <v>81</v>
      </c>
      <c r="H451" s="5">
        <v>54</v>
      </c>
      <c r="I451" s="6" t="str">
        <f t="shared" si="21"/>
        <v/>
      </c>
      <c r="J451">
        <f t="shared" si="22"/>
        <v>71.900000000000006</v>
      </c>
      <c r="K451" s="4" t="str">
        <f t="shared" si="23"/>
        <v>C</v>
      </c>
      <c r="L451">
        <f>IF(Helper!$E$3="All",1,IF(C451=Helper!$E$3,1,0))</f>
        <v>1</v>
      </c>
    </row>
    <row r="452" spans="1:12" x14ac:dyDescent="0.3">
      <c r="A452" s="3" t="s">
        <v>1100</v>
      </c>
      <c r="B452" s="3" t="s">
        <v>1099</v>
      </c>
      <c r="C452" s="3" t="s">
        <v>17</v>
      </c>
      <c r="D452" s="7">
        <v>0.66</v>
      </c>
      <c r="E452" s="5">
        <v>87</v>
      </c>
      <c r="F452" s="5">
        <v>63</v>
      </c>
      <c r="G452" s="5">
        <v>99</v>
      </c>
      <c r="H452" s="5">
        <v>98</v>
      </c>
      <c r="I452" s="6" t="str">
        <f t="shared" si="21"/>
        <v/>
      </c>
      <c r="J452">
        <f t="shared" si="22"/>
        <v>86.300000000000011</v>
      </c>
      <c r="K452" s="4" t="str">
        <f t="shared" si="23"/>
        <v>B</v>
      </c>
      <c r="L452">
        <f>IF(Helper!$E$3="All",1,IF(C452=Helper!$E$3,1,0))</f>
        <v>1</v>
      </c>
    </row>
    <row r="453" spans="1:12" x14ac:dyDescent="0.3">
      <c r="A453" s="3" t="s">
        <v>1098</v>
      </c>
      <c r="B453" s="3" t="s">
        <v>1097</v>
      </c>
      <c r="C453" s="3" t="s">
        <v>17</v>
      </c>
      <c r="D453" s="7">
        <v>0.6</v>
      </c>
      <c r="E453" s="5">
        <v>62</v>
      </c>
      <c r="F453" s="5">
        <v>88</v>
      </c>
      <c r="G453" s="5">
        <v>55</v>
      </c>
      <c r="H453" s="5">
        <v>61</v>
      </c>
      <c r="I453" s="6" t="str">
        <f t="shared" si="21"/>
        <v/>
      </c>
      <c r="J453">
        <f t="shared" si="22"/>
        <v>53.9</v>
      </c>
      <c r="K453" s="4" t="str">
        <f t="shared" si="23"/>
        <v>F</v>
      </c>
      <c r="L453">
        <f>IF(Helper!$E$3="All",1,IF(C453=Helper!$E$3,1,0))</f>
        <v>1</v>
      </c>
    </row>
    <row r="454" spans="1:12" x14ac:dyDescent="0.3">
      <c r="A454" s="3" t="s">
        <v>1096</v>
      </c>
      <c r="B454" s="3" t="s">
        <v>1095</v>
      </c>
      <c r="C454" s="3" t="s">
        <v>17</v>
      </c>
      <c r="D454" s="7">
        <v>0.91</v>
      </c>
      <c r="E454" s="5">
        <v>45</v>
      </c>
      <c r="F454" s="5">
        <v>58</v>
      </c>
      <c r="G454" s="5">
        <v>77</v>
      </c>
      <c r="H454" s="5">
        <v>90</v>
      </c>
      <c r="I454" s="6">
        <f t="shared" si="21"/>
        <v>13</v>
      </c>
      <c r="J454">
        <f t="shared" si="22"/>
        <v>81.95</v>
      </c>
      <c r="K454" s="4" t="str">
        <f t="shared" si="23"/>
        <v>B</v>
      </c>
      <c r="L454">
        <f>IF(Helper!$E$3="All",1,IF(C454=Helper!$E$3,1,0))</f>
        <v>1</v>
      </c>
    </row>
    <row r="455" spans="1:12" x14ac:dyDescent="0.3">
      <c r="A455" s="3" t="s">
        <v>1094</v>
      </c>
      <c r="B455" s="3" t="s">
        <v>1093</v>
      </c>
      <c r="C455" s="3" t="s">
        <v>17</v>
      </c>
      <c r="D455" s="7">
        <v>0.72</v>
      </c>
      <c r="E455" s="5">
        <v>85</v>
      </c>
      <c r="F455" s="5">
        <v>90</v>
      </c>
      <c r="G455" s="5">
        <v>99</v>
      </c>
      <c r="H455" s="5">
        <v>87</v>
      </c>
      <c r="I455" s="6" t="str">
        <f t="shared" si="21"/>
        <v/>
      </c>
      <c r="J455">
        <f t="shared" si="22"/>
        <v>93.15</v>
      </c>
      <c r="K455" s="4" t="str">
        <f t="shared" si="23"/>
        <v>A</v>
      </c>
      <c r="L455">
        <f>IF(Helper!$E$3="All",1,IF(C455=Helper!$E$3,1,0))</f>
        <v>1</v>
      </c>
    </row>
    <row r="456" spans="1:12" x14ac:dyDescent="0.3">
      <c r="A456" s="3" t="s">
        <v>1092</v>
      </c>
      <c r="B456" s="3" t="s">
        <v>1091</v>
      </c>
      <c r="C456" s="3" t="s">
        <v>8</v>
      </c>
      <c r="D456" s="7">
        <v>0.89</v>
      </c>
      <c r="E456" s="5">
        <v>89</v>
      </c>
      <c r="F456" s="5">
        <v>64</v>
      </c>
      <c r="G456" s="5">
        <v>41</v>
      </c>
      <c r="H456" s="5">
        <v>60</v>
      </c>
      <c r="I456" s="6">
        <f t="shared" si="21"/>
        <v>19</v>
      </c>
      <c r="J456">
        <f t="shared" si="22"/>
        <v>58.05</v>
      </c>
      <c r="K456" s="4" t="str">
        <f t="shared" si="23"/>
        <v>F</v>
      </c>
      <c r="L456">
        <f>IF(Helper!$E$3="All",1,IF(C456=Helper!$E$3,1,0))</f>
        <v>1</v>
      </c>
    </row>
    <row r="457" spans="1:12" x14ac:dyDescent="0.3">
      <c r="A457" s="3" t="s">
        <v>1090</v>
      </c>
      <c r="B457" s="3" t="s">
        <v>1089</v>
      </c>
      <c r="C457" s="3" t="s">
        <v>0</v>
      </c>
      <c r="D457" s="7">
        <v>0.82000000000000006</v>
      </c>
      <c r="E457" s="5">
        <v>83</v>
      </c>
      <c r="F457" s="5">
        <v>60</v>
      </c>
      <c r="G457" s="5">
        <v>41</v>
      </c>
      <c r="H457" s="5">
        <v>98</v>
      </c>
      <c r="I457" s="6">
        <f t="shared" si="21"/>
        <v>57</v>
      </c>
      <c r="J457">
        <f t="shared" si="22"/>
        <v>72.75</v>
      </c>
      <c r="K457" s="4" t="str">
        <f t="shared" si="23"/>
        <v>C</v>
      </c>
      <c r="L457">
        <f>IF(Helper!$E$3="All",1,IF(C457=Helper!$E$3,1,0))</f>
        <v>1</v>
      </c>
    </row>
    <row r="458" spans="1:12" x14ac:dyDescent="0.3">
      <c r="A458" s="3" t="s">
        <v>1088</v>
      </c>
      <c r="B458" s="3" t="s">
        <v>1087</v>
      </c>
      <c r="C458" s="3" t="s">
        <v>17</v>
      </c>
      <c r="D458" s="7">
        <v>0.78</v>
      </c>
      <c r="E458" s="5">
        <v>98</v>
      </c>
      <c r="F458" s="5">
        <v>51</v>
      </c>
      <c r="G458" s="5">
        <v>65</v>
      </c>
      <c r="H458" s="5">
        <v>95</v>
      </c>
      <c r="I458" s="6">
        <f t="shared" si="21"/>
        <v>30</v>
      </c>
      <c r="J458">
        <f t="shared" si="22"/>
        <v>81.45</v>
      </c>
      <c r="K458" s="4" t="str">
        <f t="shared" si="23"/>
        <v>B</v>
      </c>
      <c r="L458">
        <f>IF(Helper!$E$3="All",1,IF(C458=Helper!$E$3,1,0))</f>
        <v>1</v>
      </c>
    </row>
    <row r="459" spans="1:12" x14ac:dyDescent="0.3">
      <c r="A459" s="3" t="s">
        <v>1086</v>
      </c>
      <c r="B459" s="3" t="s">
        <v>1085</v>
      </c>
      <c r="C459" s="3" t="s">
        <v>3</v>
      </c>
      <c r="D459" s="7">
        <v>0.91</v>
      </c>
      <c r="E459" s="5">
        <v>82</v>
      </c>
      <c r="F459" s="5">
        <v>96</v>
      </c>
      <c r="G459" s="5">
        <v>52</v>
      </c>
      <c r="H459" s="5">
        <v>61</v>
      </c>
      <c r="I459" s="6">
        <f t="shared" si="21"/>
        <v>9</v>
      </c>
      <c r="J459">
        <f t="shared" si="22"/>
        <v>64.099999999999994</v>
      </c>
      <c r="K459" s="4" t="str">
        <f t="shared" si="23"/>
        <v>D</v>
      </c>
      <c r="L459">
        <f>IF(Helper!$E$3="All",1,IF(C459=Helper!$E$3,1,0))</f>
        <v>1</v>
      </c>
    </row>
    <row r="460" spans="1:12" x14ac:dyDescent="0.3">
      <c r="A460" s="3" t="s">
        <v>1084</v>
      </c>
      <c r="B460" s="3" t="s">
        <v>1083</v>
      </c>
      <c r="C460" s="3" t="s">
        <v>0</v>
      </c>
      <c r="D460" s="7">
        <v>0.89</v>
      </c>
      <c r="E460" s="5">
        <v>84</v>
      </c>
      <c r="F460" s="5">
        <v>100</v>
      </c>
      <c r="G460" s="5">
        <v>95</v>
      </c>
      <c r="H460" s="5">
        <v>75</v>
      </c>
      <c r="I460" s="6" t="str">
        <f t="shared" si="21"/>
        <v/>
      </c>
      <c r="J460">
        <f t="shared" si="22"/>
        <v>87.2</v>
      </c>
      <c r="K460" s="4" t="str">
        <f t="shared" si="23"/>
        <v>B</v>
      </c>
      <c r="L460">
        <f>IF(Helper!$E$3="All",1,IF(C460=Helper!$E$3,1,0))</f>
        <v>1</v>
      </c>
    </row>
    <row r="461" spans="1:12" x14ac:dyDescent="0.3">
      <c r="A461" s="3" t="s">
        <v>1082</v>
      </c>
      <c r="B461" s="3" t="s">
        <v>1081</v>
      </c>
      <c r="C461" s="3" t="s">
        <v>0</v>
      </c>
      <c r="D461" s="7">
        <v>0.88</v>
      </c>
      <c r="E461" s="5">
        <v>60</v>
      </c>
      <c r="F461" s="5">
        <v>80</v>
      </c>
      <c r="G461" s="5">
        <v>86</v>
      </c>
      <c r="H461" s="5">
        <v>73</v>
      </c>
      <c r="I461" s="6" t="str">
        <f t="shared" si="21"/>
        <v/>
      </c>
      <c r="J461">
        <f t="shared" si="22"/>
        <v>80.599999999999994</v>
      </c>
      <c r="K461" s="4" t="str">
        <f t="shared" si="23"/>
        <v>B</v>
      </c>
      <c r="L461">
        <f>IF(Helper!$E$3="All",1,IF(C461=Helper!$E$3,1,0))</f>
        <v>1</v>
      </c>
    </row>
    <row r="462" spans="1:12" x14ac:dyDescent="0.3">
      <c r="A462" s="3" t="s">
        <v>1080</v>
      </c>
      <c r="B462" s="3" t="s">
        <v>1079</v>
      </c>
      <c r="C462" s="3" t="s">
        <v>17</v>
      </c>
      <c r="D462" s="7">
        <v>0.88</v>
      </c>
      <c r="E462" s="5">
        <v>62</v>
      </c>
      <c r="F462" s="5">
        <v>72</v>
      </c>
      <c r="G462" s="5">
        <v>70</v>
      </c>
      <c r="H462" s="5">
        <v>69</v>
      </c>
      <c r="I462" s="6" t="str">
        <f t="shared" si="21"/>
        <v/>
      </c>
      <c r="J462">
        <f t="shared" si="22"/>
        <v>72.3</v>
      </c>
      <c r="K462" s="4" t="str">
        <f t="shared" si="23"/>
        <v>C</v>
      </c>
      <c r="L462">
        <f>IF(Helper!$E$3="All",1,IF(C462=Helper!$E$3,1,0))</f>
        <v>1</v>
      </c>
    </row>
    <row r="463" spans="1:12" x14ac:dyDescent="0.3">
      <c r="A463" s="3" t="s">
        <v>1078</v>
      </c>
      <c r="B463" s="3" t="s">
        <v>1077</v>
      </c>
      <c r="C463" s="3" t="s">
        <v>8</v>
      </c>
      <c r="D463" s="7">
        <v>0.89</v>
      </c>
      <c r="E463" s="5">
        <v>82</v>
      </c>
      <c r="F463" s="5">
        <v>89</v>
      </c>
      <c r="G463" s="5">
        <v>99</v>
      </c>
      <c r="H463" s="5">
        <v>64</v>
      </c>
      <c r="I463" s="6">
        <f t="shared" si="21"/>
        <v>-35</v>
      </c>
      <c r="J463">
        <f t="shared" si="22"/>
        <v>83.75</v>
      </c>
      <c r="K463" s="4" t="str">
        <f t="shared" si="23"/>
        <v>B</v>
      </c>
      <c r="L463">
        <f>IF(Helper!$E$3="All",1,IF(C463=Helper!$E$3,1,0))</f>
        <v>1</v>
      </c>
    </row>
    <row r="464" spans="1:12" x14ac:dyDescent="0.3">
      <c r="A464" s="3" t="s">
        <v>1076</v>
      </c>
      <c r="B464" s="3" t="s">
        <v>1075</v>
      </c>
      <c r="C464" s="3" t="s">
        <v>17</v>
      </c>
      <c r="D464" s="7">
        <v>0.75</v>
      </c>
      <c r="E464" s="5">
        <v>94</v>
      </c>
      <c r="F464" s="5">
        <v>92</v>
      </c>
      <c r="G464" s="5">
        <v>73</v>
      </c>
      <c r="H464" s="5">
        <v>84</v>
      </c>
      <c r="I464" s="6">
        <f t="shared" si="21"/>
        <v>11</v>
      </c>
      <c r="J464">
        <f t="shared" si="22"/>
        <v>82.1</v>
      </c>
      <c r="K464" s="4" t="str">
        <f t="shared" si="23"/>
        <v>B</v>
      </c>
      <c r="L464">
        <f>IF(Helper!$E$3="All",1,IF(C464=Helper!$E$3,1,0))</f>
        <v>1</v>
      </c>
    </row>
    <row r="465" spans="1:12" x14ac:dyDescent="0.3">
      <c r="A465" s="3" t="s">
        <v>1074</v>
      </c>
      <c r="B465" s="3" t="s">
        <v>1073</v>
      </c>
      <c r="C465" s="3" t="s">
        <v>8</v>
      </c>
      <c r="D465" s="7">
        <v>0.99</v>
      </c>
      <c r="E465" s="5">
        <v>55</v>
      </c>
      <c r="F465" s="5">
        <v>43</v>
      </c>
      <c r="G465" s="5">
        <v>78</v>
      </c>
      <c r="H465" s="5">
        <v>67</v>
      </c>
      <c r="I465" s="6" t="str">
        <f t="shared" si="21"/>
        <v/>
      </c>
      <c r="J465">
        <f t="shared" si="22"/>
        <v>72.900000000000006</v>
      </c>
      <c r="K465" s="4" t="str">
        <f t="shared" si="23"/>
        <v>C</v>
      </c>
      <c r="L465">
        <f>IF(Helper!$E$3="All",1,IF(C465=Helper!$E$3,1,0))</f>
        <v>1</v>
      </c>
    </row>
    <row r="466" spans="1:12" x14ac:dyDescent="0.3">
      <c r="A466" s="3" t="s">
        <v>1072</v>
      </c>
      <c r="B466" s="3" t="s">
        <v>1071</v>
      </c>
      <c r="C466" s="3" t="s">
        <v>3</v>
      </c>
      <c r="D466" s="7">
        <v>0.78</v>
      </c>
      <c r="E466" s="5">
        <v>86</v>
      </c>
      <c r="F466" s="5">
        <v>81</v>
      </c>
      <c r="G466" s="5">
        <v>42</v>
      </c>
      <c r="H466" s="5">
        <v>40</v>
      </c>
      <c r="I466" s="6" t="str">
        <f t="shared" si="21"/>
        <v/>
      </c>
      <c r="J466">
        <f t="shared" si="22"/>
        <v>51.150000000000006</v>
      </c>
      <c r="K466" s="4" t="str">
        <f t="shared" si="23"/>
        <v>F</v>
      </c>
      <c r="L466">
        <f>IF(Helper!$E$3="All",1,IF(C466=Helper!$E$3,1,0))</f>
        <v>1</v>
      </c>
    </row>
    <row r="467" spans="1:12" x14ac:dyDescent="0.3">
      <c r="A467" s="3" t="s">
        <v>1070</v>
      </c>
      <c r="B467" s="3" t="s">
        <v>1069</v>
      </c>
      <c r="C467" s="3" t="s">
        <v>0</v>
      </c>
      <c r="D467" s="7">
        <v>0.77</v>
      </c>
      <c r="E467" s="5">
        <v>92</v>
      </c>
      <c r="F467" s="5">
        <v>96</v>
      </c>
      <c r="G467" s="5">
        <v>47</v>
      </c>
      <c r="H467" s="5">
        <v>88</v>
      </c>
      <c r="I467" s="6">
        <f t="shared" si="21"/>
        <v>41</v>
      </c>
      <c r="J467">
        <f t="shared" si="22"/>
        <v>73.400000000000006</v>
      </c>
      <c r="K467" s="4" t="str">
        <f t="shared" si="23"/>
        <v>C</v>
      </c>
      <c r="L467">
        <f>IF(Helper!$E$3="All",1,IF(C467=Helper!$E$3,1,0))</f>
        <v>1</v>
      </c>
    </row>
    <row r="468" spans="1:12" x14ac:dyDescent="0.3">
      <c r="A468" s="3" t="s">
        <v>1068</v>
      </c>
      <c r="B468" s="3" t="s">
        <v>1067</v>
      </c>
      <c r="C468" s="3" t="s">
        <v>3</v>
      </c>
      <c r="D468" s="7">
        <v>0.6</v>
      </c>
      <c r="E468" s="5">
        <v>99</v>
      </c>
      <c r="F468" s="5">
        <v>46</v>
      </c>
      <c r="G468" s="5">
        <v>62</v>
      </c>
      <c r="H468" s="5">
        <v>84</v>
      </c>
      <c r="I468" s="6">
        <f t="shared" si="21"/>
        <v>22</v>
      </c>
      <c r="J468">
        <f t="shared" si="22"/>
        <v>65.650000000000006</v>
      </c>
      <c r="K468" s="4" t="str">
        <f t="shared" si="23"/>
        <v>D</v>
      </c>
      <c r="L468">
        <f>IF(Helper!$E$3="All",1,IF(C468=Helper!$E$3,1,0))</f>
        <v>1</v>
      </c>
    </row>
    <row r="469" spans="1:12" x14ac:dyDescent="0.3">
      <c r="A469" s="3" t="s">
        <v>1066</v>
      </c>
      <c r="B469" s="3" t="s">
        <v>1065</v>
      </c>
      <c r="C469" s="3" t="s">
        <v>8</v>
      </c>
      <c r="D469" s="7">
        <v>0.73</v>
      </c>
      <c r="E469" s="5">
        <v>54</v>
      </c>
      <c r="F469" s="5">
        <v>61</v>
      </c>
      <c r="G469" s="5">
        <v>53</v>
      </c>
      <c r="H469" s="5">
        <v>43</v>
      </c>
      <c r="I469" s="6" t="str">
        <f t="shared" si="21"/>
        <v/>
      </c>
      <c r="J469">
        <f t="shared" si="22"/>
        <v>54.150000000000006</v>
      </c>
      <c r="K469" s="4" t="str">
        <f t="shared" si="23"/>
        <v>F</v>
      </c>
      <c r="L469">
        <f>IF(Helper!$E$3="All",1,IF(C469=Helper!$E$3,1,0))</f>
        <v>1</v>
      </c>
    </row>
    <row r="470" spans="1:12" x14ac:dyDescent="0.3">
      <c r="A470" s="3" t="s">
        <v>1064</v>
      </c>
      <c r="B470" s="3" t="s">
        <v>1063</v>
      </c>
      <c r="C470" s="3" t="s">
        <v>8</v>
      </c>
      <c r="D470" s="7">
        <v>0.61</v>
      </c>
      <c r="E470" s="5">
        <v>64</v>
      </c>
      <c r="F470" s="5">
        <v>94</v>
      </c>
      <c r="G470" s="5">
        <v>95</v>
      </c>
      <c r="H470" s="5">
        <v>46</v>
      </c>
      <c r="I470" s="6">
        <f t="shared" si="21"/>
        <v>-49</v>
      </c>
      <c r="J470">
        <f t="shared" si="22"/>
        <v>64.3</v>
      </c>
      <c r="K470" s="4" t="str">
        <f t="shared" si="23"/>
        <v>D</v>
      </c>
      <c r="L470">
        <f>IF(Helper!$E$3="All",1,IF(C470=Helper!$E$3,1,0))</f>
        <v>1</v>
      </c>
    </row>
    <row r="471" spans="1:12" x14ac:dyDescent="0.3">
      <c r="A471" s="3" t="s">
        <v>1062</v>
      </c>
      <c r="B471" s="3" t="s">
        <v>1061</v>
      </c>
      <c r="C471" s="3" t="s">
        <v>3</v>
      </c>
      <c r="D471" s="7">
        <v>0.87</v>
      </c>
      <c r="E471" s="5">
        <v>75</v>
      </c>
      <c r="F471" s="5">
        <v>72</v>
      </c>
      <c r="G471" s="5">
        <v>94</v>
      </c>
      <c r="H471" s="5">
        <v>88</v>
      </c>
      <c r="I471" s="6" t="str">
        <f t="shared" si="21"/>
        <v/>
      </c>
      <c r="J471">
        <f t="shared" si="22"/>
        <v>90.15</v>
      </c>
      <c r="K471" s="4" t="str">
        <f t="shared" si="23"/>
        <v>A</v>
      </c>
      <c r="L471">
        <f>IF(Helper!$E$3="All",1,IF(C471=Helper!$E$3,1,0))</f>
        <v>1</v>
      </c>
    </row>
    <row r="472" spans="1:12" x14ac:dyDescent="0.3">
      <c r="A472" s="3" t="s">
        <v>1060</v>
      </c>
      <c r="B472" s="3" t="s">
        <v>1059</v>
      </c>
      <c r="C472" s="3" t="s">
        <v>8</v>
      </c>
      <c r="D472" s="7">
        <v>0.89</v>
      </c>
      <c r="E472" s="5">
        <v>50</v>
      </c>
      <c r="F472" s="5">
        <v>56</v>
      </c>
      <c r="G472" s="5">
        <v>66</v>
      </c>
      <c r="H472" s="5">
        <v>48</v>
      </c>
      <c r="I472" s="6" t="str">
        <f t="shared" si="21"/>
        <v/>
      </c>
      <c r="J472">
        <f t="shared" si="22"/>
        <v>60.900000000000006</v>
      </c>
      <c r="K472" s="4" t="str">
        <f t="shared" si="23"/>
        <v>D</v>
      </c>
      <c r="L472">
        <f>IF(Helper!$E$3="All",1,IF(C472=Helper!$E$3,1,0))</f>
        <v>1</v>
      </c>
    </row>
    <row r="473" spans="1:12" x14ac:dyDescent="0.3">
      <c r="A473" s="3" t="s">
        <v>1058</v>
      </c>
      <c r="B473" s="3" t="s">
        <v>1057</v>
      </c>
      <c r="C473" s="3" t="s">
        <v>3</v>
      </c>
      <c r="D473" s="7">
        <v>0.97</v>
      </c>
      <c r="E473" s="5">
        <v>90</v>
      </c>
      <c r="F473" s="5">
        <v>63</v>
      </c>
      <c r="G473" s="5">
        <v>93</v>
      </c>
      <c r="H473" s="5">
        <v>75</v>
      </c>
      <c r="I473" s="6" t="str">
        <f t="shared" si="21"/>
        <v/>
      </c>
      <c r="J473">
        <f t="shared" si="22"/>
        <v>84.85</v>
      </c>
      <c r="K473" s="4" t="str">
        <f t="shared" si="23"/>
        <v>B</v>
      </c>
      <c r="L473">
        <f>IF(Helper!$E$3="All",1,IF(C473=Helper!$E$3,1,0))</f>
        <v>1</v>
      </c>
    </row>
    <row r="474" spans="1:12" x14ac:dyDescent="0.3">
      <c r="A474" s="3" t="s">
        <v>1056</v>
      </c>
      <c r="B474" s="3" t="s">
        <v>1055</v>
      </c>
      <c r="C474" s="3" t="s">
        <v>0</v>
      </c>
      <c r="D474" s="7">
        <v>0.63</v>
      </c>
      <c r="E474" s="5">
        <v>54</v>
      </c>
      <c r="F474" s="5">
        <v>100</v>
      </c>
      <c r="G474" s="5">
        <v>68</v>
      </c>
      <c r="H474" s="5">
        <v>58</v>
      </c>
      <c r="I474" s="6" t="str">
        <f t="shared" si="21"/>
        <v/>
      </c>
      <c r="J474">
        <f t="shared" si="22"/>
        <v>58.100000000000009</v>
      </c>
      <c r="K474" s="4" t="str">
        <f t="shared" si="23"/>
        <v>F</v>
      </c>
      <c r="L474">
        <f>IF(Helper!$E$3="All",1,IF(C474=Helper!$E$3,1,0))</f>
        <v>1</v>
      </c>
    </row>
    <row r="475" spans="1:12" x14ac:dyDescent="0.3">
      <c r="A475" s="3" t="s">
        <v>1054</v>
      </c>
      <c r="B475" s="3" t="s">
        <v>1053</v>
      </c>
      <c r="C475" s="3" t="s">
        <v>3</v>
      </c>
      <c r="D475" s="7">
        <v>0.6</v>
      </c>
      <c r="E475" s="5">
        <v>43</v>
      </c>
      <c r="F475" s="5">
        <v>100</v>
      </c>
      <c r="G475" s="5">
        <v>78</v>
      </c>
      <c r="H475" s="5">
        <v>40</v>
      </c>
      <c r="I475" s="6">
        <f t="shared" si="21"/>
        <v>-38</v>
      </c>
      <c r="J475">
        <f t="shared" si="22"/>
        <v>54.35</v>
      </c>
      <c r="K475" s="4" t="str">
        <f t="shared" si="23"/>
        <v>F</v>
      </c>
      <c r="L475">
        <f>IF(Helper!$E$3="All",1,IF(C475=Helper!$E$3,1,0))</f>
        <v>1</v>
      </c>
    </row>
    <row r="476" spans="1:12" x14ac:dyDescent="0.3">
      <c r="A476" s="3" t="s">
        <v>1052</v>
      </c>
      <c r="B476" s="3" t="s">
        <v>1051</v>
      </c>
      <c r="C476" s="3" t="s">
        <v>0</v>
      </c>
      <c r="D476" s="7">
        <v>0.67</v>
      </c>
      <c r="E476" s="5">
        <v>60</v>
      </c>
      <c r="F476" s="5">
        <v>73</v>
      </c>
      <c r="G476" s="5">
        <v>92</v>
      </c>
      <c r="H476" s="5">
        <v>49</v>
      </c>
      <c r="I476" s="6">
        <f t="shared" si="21"/>
        <v>-43</v>
      </c>
      <c r="J476">
        <f t="shared" si="22"/>
        <v>63.050000000000004</v>
      </c>
      <c r="K476" s="4" t="str">
        <f t="shared" si="23"/>
        <v>D</v>
      </c>
      <c r="L476">
        <f>IF(Helper!$E$3="All",1,IF(C476=Helper!$E$3,1,0))</f>
        <v>1</v>
      </c>
    </row>
    <row r="477" spans="1:12" x14ac:dyDescent="0.3">
      <c r="A477" s="3" t="s">
        <v>1050</v>
      </c>
      <c r="B477" s="3" t="s">
        <v>1049</v>
      </c>
      <c r="C477" s="3" t="s">
        <v>3</v>
      </c>
      <c r="D477" s="7">
        <v>0.88</v>
      </c>
      <c r="E477" s="5">
        <v>52</v>
      </c>
      <c r="F477" s="5">
        <v>67</v>
      </c>
      <c r="G477" s="5">
        <v>78</v>
      </c>
      <c r="H477" s="5">
        <v>75</v>
      </c>
      <c r="I477" s="6" t="str">
        <f t="shared" si="21"/>
        <v/>
      </c>
      <c r="J477">
        <f t="shared" si="22"/>
        <v>77.150000000000006</v>
      </c>
      <c r="K477" s="4" t="str">
        <f t="shared" si="23"/>
        <v>C</v>
      </c>
      <c r="L477">
        <f>IF(Helper!$E$3="All",1,IF(C477=Helper!$E$3,1,0))</f>
        <v>1</v>
      </c>
    </row>
    <row r="478" spans="1:12" x14ac:dyDescent="0.3">
      <c r="A478" s="3" t="s">
        <v>1048</v>
      </c>
      <c r="B478" s="3" t="s">
        <v>1047</v>
      </c>
      <c r="C478" s="3" t="s">
        <v>8</v>
      </c>
      <c r="D478" s="7">
        <v>0.98</v>
      </c>
      <c r="E478" s="5">
        <v>61</v>
      </c>
      <c r="F478" s="5">
        <v>97</v>
      </c>
      <c r="G478" s="5">
        <v>40</v>
      </c>
      <c r="H478" s="5">
        <v>48</v>
      </c>
      <c r="I478" s="6">
        <f t="shared" si="21"/>
        <v>8</v>
      </c>
      <c r="J478">
        <f t="shared" si="22"/>
        <v>53.099999999999994</v>
      </c>
      <c r="K478" s="4" t="str">
        <f t="shared" si="23"/>
        <v>F</v>
      </c>
      <c r="L478">
        <f>IF(Helper!$E$3="All",1,IF(C478=Helper!$E$3,1,0))</f>
        <v>1</v>
      </c>
    </row>
    <row r="479" spans="1:12" x14ac:dyDescent="0.3">
      <c r="A479" s="3" t="s">
        <v>1046</v>
      </c>
      <c r="B479" s="3" t="s">
        <v>1045</v>
      </c>
      <c r="C479" s="3" t="s">
        <v>3</v>
      </c>
      <c r="D479" s="7">
        <v>0.62</v>
      </c>
      <c r="E479" s="5">
        <v>58</v>
      </c>
      <c r="F479" s="5">
        <v>82</v>
      </c>
      <c r="G479" s="5">
        <v>56</v>
      </c>
      <c r="H479" s="5">
        <v>84</v>
      </c>
      <c r="I479" s="6">
        <f t="shared" si="21"/>
        <v>28</v>
      </c>
      <c r="J479">
        <f t="shared" si="22"/>
        <v>63</v>
      </c>
      <c r="K479" s="4" t="str">
        <f t="shared" si="23"/>
        <v>D</v>
      </c>
      <c r="L479">
        <f>IF(Helper!$E$3="All",1,IF(C479=Helper!$E$3,1,0))</f>
        <v>1</v>
      </c>
    </row>
    <row r="480" spans="1:12" x14ac:dyDescent="0.3">
      <c r="A480" s="3" t="s">
        <v>1044</v>
      </c>
      <c r="B480" s="3" t="s">
        <v>1043</v>
      </c>
      <c r="C480" s="3" t="s">
        <v>8</v>
      </c>
      <c r="D480" s="7">
        <v>0.91</v>
      </c>
      <c r="E480" s="5">
        <v>73</v>
      </c>
      <c r="F480" s="5">
        <v>80</v>
      </c>
      <c r="G480" s="5">
        <v>80</v>
      </c>
      <c r="H480" s="5">
        <v>85</v>
      </c>
      <c r="I480" s="6" t="str">
        <f t="shared" si="21"/>
        <v/>
      </c>
      <c r="J480">
        <f t="shared" si="22"/>
        <v>83.65</v>
      </c>
      <c r="K480" s="4" t="str">
        <f t="shared" si="23"/>
        <v>B</v>
      </c>
      <c r="L480">
        <f>IF(Helper!$E$3="All",1,IF(C480=Helper!$E$3,1,0))</f>
        <v>1</v>
      </c>
    </row>
    <row r="481" spans="1:12" x14ac:dyDescent="0.3">
      <c r="A481" s="3" t="s">
        <v>1042</v>
      </c>
      <c r="B481" s="3" t="s">
        <v>1041</v>
      </c>
      <c r="C481" s="3" t="s">
        <v>3</v>
      </c>
      <c r="D481" s="7">
        <v>0.69000000000000006</v>
      </c>
      <c r="E481" s="5">
        <v>53</v>
      </c>
      <c r="F481" s="5">
        <v>78</v>
      </c>
      <c r="G481" s="5">
        <v>69</v>
      </c>
      <c r="H481" s="5">
        <v>81</v>
      </c>
      <c r="I481" s="6">
        <f t="shared" si="21"/>
        <v>12</v>
      </c>
      <c r="J481">
        <f t="shared" si="22"/>
        <v>66.550000000000011</v>
      </c>
      <c r="K481" s="4" t="str">
        <f t="shared" si="23"/>
        <v>D</v>
      </c>
      <c r="L481">
        <f>IF(Helper!$E$3="All",1,IF(C481=Helper!$E$3,1,0))</f>
        <v>1</v>
      </c>
    </row>
    <row r="482" spans="1:12" x14ac:dyDescent="0.3">
      <c r="A482" s="3" t="s">
        <v>1040</v>
      </c>
      <c r="B482" s="3" t="s">
        <v>1039</v>
      </c>
      <c r="C482" s="3" t="s">
        <v>3</v>
      </c>
      <c r="D482" s="7">
        <v>0.69000000000000006</v>
      </c>
      <c r="E482" s="5">
        <v>100</v>
      </c>
      <c r="F482" s="5">
        <v>61</v>
      </c>
      <c r="G482" s="5">
        <v>92</v>
      </c>
      <c r="H482" s="5">
        <v>71</v>
      </c>
      <c r="I482" s="6" t="str">
        <f t="shared" si="21"/>
        <v/>
      </c>
      <c r="J482">
        <f t="shared" si="22"/>
        <v>73.25</v>
      </c>
      <c r="K482" s="4" t="str">
        <f t="shared" si="23"/>
        <v>C</v>
      </c>
      <c r="L482">
        <f>IF(Helper!$E$3="All",1,IF(C482=Helper!$E$3,1,0))</f>
        <v>1</v>
      </c>
    </row>
    <row r="483" spans="1:12" x14ac:dyDescent="0.3">
      <c r="A483" s="3" t="s">
        <v>1038</v>
      </c>
      <c r="B483" s="3" t="s">
        <v>1037</v>
      </c>
      <c r="C483" s="3" t="s">
        <v>17</v>
      </c>
      <c r="D483" s="7">
        <v>0.78</v>
      </c>
      <c r="E483" s="5">
        <v>43</v>
      </c>
      <c r="F483" s="5">
        <v>88</v>
      </c>
      <c r="G483" s="5">
        <v>52</v>
      </c>
      <c r="H483" s="5">
        <v>71</v>
      </c>
      <c r="I483" s="6">
        <f t="shared" si="21"/>
        <v>19</v>
      </c>
      <c r="J483">
        <f t="shared" si="22"/>
        <v>65.75</v>
      </c>
      <c r="K483" s="4" t="str">
        <f t="shared" si="23"/>
        <v>D</v>
      </c>
      <c r="L483">
        <f>IF(Helper!$E$3="All",1,IF(C483=Helper!$E$3,1,0))</f>
        <v>1</v>
      </c>
    </row>
    <row r="484" spans="1:12" x14ac:dyDescent="0.3">
      <c r="A484" s="3" t="s">
        <v>1036</v>
      </c>
      <c r="B484" s="3" t="s">
        <v>1035</v>
      </c>
      <c r="C484" s="3" t="s">
        <v>8</v>
      </c>
      <c r="D484" s="7">
        <v>0.93</v>
      </c>
      <c r="E484" s="5">
        <v>87</v>
      </c>
      <c r="F484" s="5">
        <v>56</v>
      </c>
      <c r="G484" s="5">
        <v>60</v>
      </c>
      <c r="H484" s="5">
        <v>45</v>
      </c>
      <c r="I484" s="6" t="str">
        <f t="shared" si="21"/>
        <v/>
      </c>
      <c r="J484">
        <f t="shared" si="22"/>
        <v>59.15</v>
      </c>
      <c r="K484" s="4" t="str">
        <f t="shared" si="23"/>
        <v>F</v>
      </c>
      <c r="L484">
        <f>IF(Helper!$E$3="All",1,IF(C484=Helper!$E$3,1,0))</f>
        <v>1</v>
      </c>
    </row>
    <row r="485" spans="1:12" x14ac:dyDescent="0.3">
      <c r="A485" s="3" t="s">
        <v>1034</v>
      </c>
      <c r="B485" s="3" t="s">
        <v>1033</v>
      </c>
      <c r="C485" s="3" t="s">
        <v>17</v>
      </c>
      <c r="D485" s="7">
        <v>0.92</v>
      </c>
      <c r="E485" s="5">
        <v>92</v>
      </c>
      <c r="F485" s="5">
        <v>73</v>
      </c>
      <c r="G485" s="5">
        <v>58</v>
      </c>
      <c r="H485" s="5">
        <v>87</v>
      </c>
      <c r="I485" s="6">
        <f t="shared" si="21"/>
        <v>29</v>
      </c>
      <c r="J485">
        <f t="shared" si="22"/>
        <v>76.25</v>
      </c>
      <c r="K485" s="4" t="str">
        <f t="shared" si="23"/>
        <v>C</v>
      </c>
      <c r="L485">
        <f>IF(Helper!$E$3="All",1,IF(C485=Helper!$E$3,1,0))</f>
        <v>1</v>
      </c>
    </row>
    <row r="486" spans="1:12" x14ac:dyDescent="0.3">
      <c r="A486" s="3" t="s">
        <v>1032</v>
      </c>
      <c r="B486" s="3" t="s">
        <v>1031</v>
      </c>
      <c r="C486" s="3" t="s">
        <v>8</v>
      </c>
      <c r="D486" s="7">
        <v>0.82000000000000006</v>
      </c>
      <c r="E486" s="5">
        <v>91</v>
      </c>
      <c r="F486" s="5">
        <v>45</v>
      </c>
      <c r="G486" s="5">
        <v>92</v>
      </c>
      <c r="H486" s="5">
        <v>77</v>
      </c>
      <c r="I486" s="6" t="str">
        <f t="shared" si="21"/>
        <v/>
      </c>
      <c r="J486">
        <f t="shared" si="22"/>
        <v>84.4</v>
      </c>
      <c r="K486" s="4" t="str">
        <f t="shared" si="23"/>
        <v>B</v>
      </c>
      <c r="L486">
        <f>IF(Helper!$E$3="All",1,IF(C486=Helper!$E$3,1,0))</f>
        <v>1</v>
      </c>
    </row>
    <row r="487" spans="1:12" x14ac:dyDescent="0.3">
      <c r="A487" s="3" t="s">
        <v>1030</v>
      </c>
      <c r="B487" s="3" t="s">
        <v>1029</v>
      </c>
      <c r="C487" s="3" t="s">
        <v>17</v>
      </c>
      <c r="D487" s="7">
        <v>0.87</v>
      </c>
      <c r="E487" s="5">
        <v>85</v>
      </c>
      <c r="F487" s="5">
        <v>85</v>
      </c>
      <c r="G487" s="5">
        <v>58</v>
      </c>
      <c r="H487" s="5">
        <v>56</v>
      </c>
      <c r="I487" s="6" t="str">
        <f t="shared" si="21"/>
        <v/>
      </c>
      <c r="J487">
        <f t="shared" si="22"/>
        <v>64.100000000000009</v>
      </c>
      <c r="K487" s="4" t="str">
        <f t="shared" si="23"/>
        <v>D</v>
      </c>
      <c r="L487">
        <f>IF(Helper!$E$3="All",1,IF(C487=Helper!$E$3,1,0))</f>
        <v>1</v>
      </c>
    </row>
    <row r="488" spans="1:12" x14ac:dyDescent="0.3">
      <c r="A488" s="3" t="s">
        <v>1028</v>
      </c>
      <c r="B488" s="3" t="s">
        <v>1027</v>
      </c>
      <c r="C488" s="3" t="s">
        <v>0</v>
      </c>
      <c r="D488" s="7">
        <v>0.91</v>
      </c>
      <c r="E488" s="5">
        <v>66</v>
      </c>
      <c r="F488" s="5">
        <v>45</v>
      </c>
      <c r="G488" s="5">
        <v>96</v>
      </c>
      <c r="H488" s="5">
        <v>49</v>
      </c>
      <c r="I488" s="6">
        <f t="shared" si="21"/>
        <v>-47</v>
      </c>
      <c r="J488">
        <f t="shared" si="22"/>
        <v>73.550000000000011</v>
      </c>
      <c r="K488" s="4" t="str">
        <f t="shared" si="23"/>
        <v>C</v>
      </c>
      <c r="L488">
        <f>IF(Helper!$E$3="All",1,IF(C488=Helper!$E$3,1,0))</f>
        <v>1</v>
      </c>
    </row>
    <row r="489" spans="1:12" x14ac:dyDescent="0.3">
      <c r="A489" s="3" t="s">
        <v>1026</v>
      </c>
      <c r="B489" s="3" t="s">
        <v>1025</v>
      </c>
      <c r="C489" s="3" t="s">
        <v>3</v>
      </c>
      <c r="D489" s="7">
        <v>0.66</v>
      </c>
      <c r="E489" s="5">
        <v>68</v>
      </c>
      <c r="F489" s="5">
        <v>73</v>
      </c>
      <c r="G489" s="5">
        <v>64</v>
      </c>
      <c r="H489" s="5">
        <v>89</v>
      </c>
      <c r="I489" s="6">
        <f t="shared" si="21"/>
        <v>25</v>
      </c>
      <c r="J489">
        <f t="shared" si="22"/>
        <v>68.25</v>
      </c>
      <c r="K489" s="4" t="str">
        <f t="shared" si="23"/>
        <v>D</v>
      </c>
      <c r="L489">
        <f>IF(Helper!$E$3="All",1,IF(C489=Helper!$E$3,1,0))</f>
        <v>1</v>
      </c>
    </row>
    <row r="490" spans="1:12" x14ac:dyDescent="0.3">
      <c r="A490" s="3" t="s">
        <v>1024</v>
      </c>
      <c r="B490" s="3" t="s">
        <v>1023</v>
      </c>
      <c r="C490" s="3" t="s">
        <v>8</v>
      </c>
      <c r="D490" s="7">
        <v>0.88</v>
      </c>
      <c r="E490" s="5">
        <v>86</v>
      </c>
      <c r="F490" s="5">
        <v>40</v>
      </c>
      <c r="G490" s="5">
        <v>61</v>
      </c>
      <c r="H490" s="5">
        <v>66</v>
      </c>
      <c r="I490" s="6" t="str">
        <f t="shared" si="21"/>
        <v/>
      </c>
      <c r="J490">
        <f t="shared" si="22"/>
        <v>67.100000000000009</v>
      </c>
      <c r="K490" s="4" t="str">
        <f t="shared" si="23"/>
        <v>D</v>
      </c>
      <c r="L490">
        <f>IF(Helper!$E$3="All",1,IF(C490=Helper!$E$3,1,0))</f>
        <v>1</v>
      </c>
    </row>
    <row r="491" spans="1:12" x14ac:dyDescent="0.3">
      <c r="A491" s="3" t="s">
        <v>1022</v>
      </c>
      <c r="B491" s="3" t="s">
        <v>1021</v>
      </c>
      <c r="C491" s="3" t="s">
        <v>8</v>
      </c>
      <c r="D491" s="7">
        <v>0.67</v>
      </c>
      <c r="E491" s="5">
        <v>67</v>
      </c>
      <c r="F491" s="5">
        <v>49</v>
      </c>
      <c r="G491" s="5">
        <v>70</v>
      </c>
      <c r="H491" s="5">
        <v>93</v>
      </c>
      <c r="I491" s="6">
        <f t="shared" si="21"/>
        <v>23</v>
      </c>
      <c r="J491">
        <f t="shared" si="22"/>
        <v>71</v>
      </c>
      <c r="K491" s="4" t="str">
        <f t="shared" si="23"/>
        <v>C</v>
      </c>
      <c r="L491">
        <f>IF(Helper!$E$3="All",1,IF(C491=Helper!$E$3,1,0))</f>
        <v>1</v>
      </c>
    </row>
    <row r="492" spans="1:12" x14ac:dyDescent="0.3">
      <c r="A492" s="3" t="s">
        <v>1020</v>
      </c>
      <c r="B492" s="3" t="s">
        <v>1019</v>
      </c>
      <c r="C492" s="3" t="s">
        <v>3</v>
      </c>
      <c r="D492" s="7">
        <v>0.6</v>
      </c>
      <c r="E492" s="5">
        <v>74</v>
      </c>
      <c r="F492" s="5">
        <v>60</v>
      </c>
      <c r="G492" s="5">
        <v>56</v>
      </c>
      <c r="H492" s="5">
        <v>89</v>
      </c>
      <c r="I492" s="6">
        <f t="shared" si="21"/>
        <v>33</v>
      </c>
      <c r="J492">
        <f t="shared" si="22"/>
        <v>64.7</v>
      </c>
      <c r="K492" s="4" t="str">
        <f t="shared" si="23"/>
        <v>D</v>
      </c>
      <c r="L492">
        <f>IF(Helper!$E$3="All",1,IF(C492=Helper!$E$3,1,0))</f>
        <v>1</v>
      </c>
    </row>
    <row r="493" spans="1:12" x14ac:dyDescent="0.3">
      <c r="A493" s="3" t="s">
        <v>1018</v>
      </c>
      <c r="B493" s="3" t="s">
        <v>1017</v>
      </c>
      <c r="C493" s="3" t="s">
        <v>8</v>
      </c>
      <c r="D493" s="7">
        <v>0.62</v>
      </c>
      <c r="E493" s="5">
        <v>47</v>
      </c>
      <c r="F493" s="5">
        <v>44</v>
      </c>
      <c r="G493" s="5">
        <v>94</v>
      </c>
      <c r="H493" s="5">
        <v>74</v>
      </c>
      <c r="I493" s="6" t="str">
        <f t="shared" si="21"/>
        <v/>
      </c>
      <c r="J493">
        <f t="shared" si="22"/>
        <v>71.75</v>
      </c>
      <c r="K493" s="4" t="str">
        <f t="shared" si="23"/>
        <v>C</v>
      </c>
      <c r="L493">
        <f>IF(Helper!$E$3="All",1,IF(C493=Helper!$E$3,1,0))</f>
        <v>1</v>
      </c>
    </row>
    <row r="494" spans="1:12" x14ac:dyDescent="0.3">
      <c r="A494" s="3" t="s">
        <v>1016</v>
      </c>
      <c r="B494" s="3" t="s">
        <v>1015</v>
      </c>
      <c r="C494" s="3" t="s">
        <v>8</v>
      </c>
      <c r="D494" s="7">
        <v>0.83000000000000007</v>
      </c>
      <c r="E494" s="5">
        <v>55</v>
      </c>
      <c r="F494" s="5">
        <v>41</v>
      </c>
      <c r="G494" s="5">
        <v>62</v>
      </c>
      <c r="H494" s="5">
        <v>91</v>
      </c>
      <c r="I494" s="6">
        <f t="shared" si="21"/>
        <v>29</v>
      </c>
      <c r="J494">
        <f t="shared" si="22"/>
        <v>76</v>
      </c>
      <c r="K494" s="4" t="str">
        <f t="shared" si="23"/>
        <v>C</v>
      </c>
      <c r="L494">
        <f>IF(Helper!$E$3="All",1,IF(C494=Helper!$E$3,1,0))</f>
        <v>1</v>
      </c>
    </row>
    <row r="495" spans="1:12" x14ac:dyDescent="0.3">
      <c r="A495" s="3" t="s">
        <v>1014</v>
      </c>
      <c r="B495" s="3" t="s">
        <v>1013</v>
      </c>
      <c r="C495" s="3" t="s">
        <v>17</v>
      </c>
      <c r="D495" s="7">
        <v>0.82000000000000006</v>
      </c>
      <c r="E495" s="5">
        <v>81</v>
      </c>
      <c r="F495" s="5">
        <v>61</v>
      </c>
      <c r="G495" s="5">
        <v>71</v>
      </c>
      <c r="H495" s="5">
        <v>98</v>
      </c>
      <c r="I495" s="6">
        <f t="shared" si="21"/>
        <v>27</v>
      </c>
      <c r="J495">
        <f t="shared" si="22"/>
        <v>84.7</v>
      </c>
      <c r="K495" s="4" t="str">
        <f t="shared" si="23"/>
        <v>B</v>
      </c>
      <c r="L495">
        <f>IF(Helper!$E$3="All",1,IF(C495=Helper!$E$3,1,0))</f>
        <v>1</v>
      </c>
    </row>
    <row r="496" spans="1:12" x14ac:dyDescent="0.3">
      <c r="A496" s="3" t="s">
        <v>1012</v>
      </c>
      <c r="B496" s="3" t="s">
        <v>1011</v>
      </c>
      <c r="C496" s="3" t="s">
        <v>8</v>
      </c>
      <c r="D496" s="7">
        <v>0.67</v>
      </c>
      <c r="E496" s="5">
        <v>75</v>
      </c>
      <c r="F496" s="5">
        <v>87</v>
      </c>
      <c r="G496" s="5">
        <v>49</v>
      </c>
      <c r="H496" s="5">
        <v>60</v>
      </c>
      <c r="I496" s="6">
        <f t="shared" si="21"/>
        <v>11</v>
      </c>
      <c r="J496">
        <f t="shared" si="22"/>
        <v>51.7</v>
      </c>
      <c r="K496" s="4" t="str">
        <f t="shared" si="23"/>
        <v>F</v>
      </c>
      <c r="L496">
        <f>IF(Helper!$E$3="All",1,IF(C496=Helper!$E$3,1,0))</f>
        <v>1</v>
      </c>
    </row>
    <row r="497" spans="1:12" x14ac:dyDescent="0.3">
      <c r="A497" s="3" t="s">
        <v>1010</v>
      </c>
      <c r="B497" s="3" t="s">
        <v>1009</v>
      </c>
      <c r="C497" s="3" t="s">
        <v>0</v>
      </c>
      <c r="D497" s="7">
        <v>0.96</v>
      </c>
      <c r="E497" s="5">
        <v>69</v>
      </c>
      <c r="F497" s="5">
        <v>96</v>
      </c>
      <c r="G497" s="5">
        <v>49</v>
      </c>
      <c r="H497" s="5">
        <v>64</v>
      </c>
      <c r="I497" s="6">
        <f t="shared" si="21"/>
        <v>15</v>
      </c>
      <c r="J497">
        <f t="shared" si="22"/>
        <v>63.45</v>
      </c>
      <c r="K497" s="4" t="str">
        <f t="shared" si="23"/>
        <v>D</v>
      </c>
      <c r="L497">
        <f>IF(Helper!$E$3="All",1,IF(C497=Helper!$E$3,1,0))</f>
        <v>1</v>
      </c>
    </row>
    <row r="498" spans="1:12" x14ac:dyDescent="0.3">
      <c r="A498" s="3" t="s">
        <v>1008</v>
      </c>
      <c r="B498" s="3" t="s">
        <v>1007</v>
      </c>
      <c r="C498" s="3" t="s">
        <v>0</v>
      </c>
      <c r="D498" s="7">
        <v>0.62</v>
      </c>
      <c r="E498" s="5">
        <v>57</v>
      </c>
      <c r="F498" s="5">
        <v>41</v>
      </c>
      <c r="G498" s="5">
        <v>75</v>
      </c>
      <c r="H498" s="5">
        <v>67</v>
      </c>
      <c r="I498" s="6" t="str">
        <f t="shared" si="21"/>
        <v/>
      </c>
      <c r="J498">
        <f t="shared" si="22"/>
        <v>61.7</v>
      </c>
      <c r="K498" s="4" t="str">
        <f t="shared" si="23"/>
        <v>D</v>
      </c>
      <c r="L498">
        <f>IF(Helper!$E$3="All",1,IF(C498=Helper!$E$3,1,0))</f>
        <v>1</v>
      </c>
    </row>
    <row r="499" spans="1:12" x14ac:dyDescent="0.3">
      <c r="A499" s="3" t="s">
        <v>1006</v>
      </c>
      <c r="B499" s="3" t="s">
        <v>1005</v>
      </c>
      <c r="C499" s="3" t="s">
        <v>3</v>
      </c>
      <c r="D499" s="7">
        <v>0.92</v>
      </c>
      <c r="E499" s="5">
        <v>41</v>
      </c>
      <c r="F499" s="5">
        <v>49</v>
      </c>
      <c r="G499" s="5">
        <v>47</v>
      </c>
      <c r="H499" s="5">
        <v>86</v>
      </c>
      <c r="I499" s="6">
        <f t="shared" si="21"/>
        <v>39</v>
      </c>
      <c r="J499">
        <f t="shared" si="22"/>
        <v>67.699999999999989</v>
      </c>
      <c r="K499" s="4" t="str">
        <f t="shared" si="23"/>
        <v>D</v>
      </c>
      <c r="L499">
        <f>IF(Helper!$E$3="All",1,IF(C499=Helper!$E$3,1,0))</f>
        <v>1</v>
      </c>
    </row>
    <row r="500" spans="1:12" x14ac:dyDescent="0.3">
      <c r="A500" s="3" t="s">
        <v>1004</v>
      </c>
      <c r="B500" s="3" t="s">
        <v>1003</v>
      </c>
      <c r="C500" s="3" t="s">
        <v>8</v>
      </c>
      <c r="D500" s="7">
        <v>0.87</v>
      </c>
      <c r="E500" s="5">
        <v>88</v>
      </c>
      <c r="F500" s="5">
        <v>73</v>
      </c>
      <c r="G500" s="5">
        <v>93</v>
      </c>
      <c r="H500" s="5">
        <v>54</v>
      </c>
      <c r="I500" s="6">
        <f t="shared" si="21"/>
        <v>-39</v>
      </c>
      <c r="J500">
        <f t="shared" si="22"/>
        <v>76.849999999999994</v>
      </c>
      <c r="K500" s="4" t="str">
        <f t="shared" si="23"/>
        <v>C</v>
      </c>
      <c r="L500">
        <f>IF(Helper!$E$3="All",1,IF(C500=Helper!$E$3,1,0))</f>
        <v>1</v>
      </c>
    </row>
    <row r="501" spans="1:12" x14ac:dyDescent="0.3">
      <c r="A501" s="3" t="s">
        <v>1002</v>
      </c>
      <c r="B501" s="3" t="s">
        <v>1001</v>
      </c>
      <c r="C501" s="3" t="s">
        <v>3</v>
      </c>
      <c r="D501" s="7">
        <v>0.67</v>
      </c>
      <c r="E501" s="5">
        <v>52</v>
      </c>
      <c r="F501" s="5">
        <v>55</v>
      </c>
      <c r="G501" s="5">
        <v>91</v>
      </c>
      <c r="H501" s="5">
        <v>43</v>
      </c>
      <c r="I501" s="6">
        <f t="shared" si="21"/>
        <v>-48</v>
      </c>
      <c r="J501">
        <f t="shared" si="22"/>
        <v>58.95</v>
      </c>
      <c r="K501" s="4" t="str">
        <f t="shared" si="23"/>
        <v>F</v>
      </c>
      <c r="L501">
        <f>IF(Helper!$E$3="All",1,IF(C501=Helper!$E$3,1,0))</f>
        <v>1</v>
      </c>
    </row>
    <row r="502" spans="1:12" x14ac:dyDescent="0.3">
      <c r="A502" s="3" t="s">
        <v>1000</v>
      </c>
      <c r="B502" s="3" t="s">
        <v>999</v>
      </c>
      <c r="C502" s="3" t="s">
        <v>0</v>
      </c>
      <c r="D502" s="7">
        <v>0.93</v>
      </c>
      <c r="E502" s="5">
        <v>43</v>
      </c>
      <c r="F502" s="5">
        <v>87</v>
      </c>
      <c r="G502" s="5">
        <v>59</v>
      </c>
      <c r="H502" s="5">
        <v>68</v>
      </c>
      <c r="I502" s="6">
        <f t="shared" si="21"/>
        <v>9</v>
      </c>
      <c r="J502">
        <f t="shared" si="22"/>
        <v>67.3</v>
      </c>
      <c r="K502" s="4" t="str">
        <f t="shared" si="23"/>
        <v>D</v>
      </c>
      <c r="L502">
        <f>IF(Helper!$E$3="All",1,IF(C502=Helper!$E$3,1,0))</f>
        <v>1</v>
      </c>
    </row>
    <row r="503" spans="1:12" x14ac:dyDescent="0.3">
      <c r="A503" s="3" t="s">
        <v>998</v>
      </c>
      <c r="B503" s="3" t="s">
        <v>997</v>
      </c>
      <c r="C503" s="3" t="s">
        <v>8</v>
      </c>
      <c r="D503" s="7">
        <v>0.94000000000000006</v>
      </c>
      <c r="E503" s="5">
        <v>65</v>
      </c>
      <c r="F503" s="5">
        <v>90</v>
      </c>
      <c r="G503" s="5">
        <v>71</v>
      </c>
      <c r="H503" s="5">
        <v>98</v>
      </c>
      <c r="I503" s="6">
        <f t="shared" si="21"/>
        <v>27</v>
      </c>
      <c r="J503">
        <f t="shared" si="22"/>
        <v>85.35</v>
      </c>
      <c r="K503" s="4" t="str">
        <f t="shared" si="23"/>
        <v>B</v>
      </c>
      <c r="L503">
        <f>IF(Helper!$E$3="All",1,IF(C503=Helper!$E$3,1,0))</f>
        <v>1</v>
      </c>
    </row>
    <row r="504" spans="1:12" x14ac:dyDescent="0.3">
      <c r="A504" s="3" t="s">
        <v>996</v>
      </c>
      <c r="B504" s="3" t="s">
        <v>995</v>
      </c>
      <c r="C504" s="3" t="s">
        <v>8</v>
      </c>
      <c r="D504" s="7">
        <v>0.91</v>
      </c>
      <c r="E504" s="5">
        <v>64</v>
      </c>
      <c r="F504" s="5">
        <v>100</v>
      </c>
      <c r="G504" s="5">
        <v>89</v>
      </c>
      <c r="H504" s="5">
        <v>48</v>
      </c>
      <c r="I504" s="6">
        <f t="shared" si="21"/>
        <v>-41</v>
      </c>
      <c r="J504">
        <f t="shared" si="22"/>
        <v>73</v>
      </c>
      <c r="K504" s="4" t="str">
        <f t="shared" si="23"/>
        <v>C</v>
      </c>
      <c r="L504">
        <f>IF(Helper!$E$3="All",1,IF(C504=Helper!$E$3,1,0))</f>
        <v>1</v>
      </c>
    </row>
    <row r="505" spans="1:12" x14ac:dyDescent="0.3">
      <c r="A505" s="3" t="s">
        <v>994</v>
      </c>
      <c r="B505" s="3" t="s">
        <v>993</v>
      </c>
      <c r="C505" s="3" t="s">
        <v>3</v>
      </c>
      <c r="D505" s="7">
        <v>0.83000000000000007</v>
      </c>
      <c r="E505" s="5">
        <v>69</v>
      </c>
      <c r="F505" s="5">
        <v>78</v>
      </c>
      <c r="G505" s="5">
        <v>53</v>
      </c>
      <c r="H505" s="5">
        <v>66</v>
      </c>
      <c r="I505" s="6">
        <f t="shared" si="21"/>
        <v>13</v>
      </c>
      <c r="J505">
        <f t="shared" si="22"/>
        <v>64.95</v>
      </c>
      <c r="K505" s="4" t="str">
        <f t="shared" si="23"/>
        <v>D</v>
      </c>
      <c r="L505">
        <f>IF(Helper!$E$3="All",1,IF(C505=Helper!$E$3,1,0))</f>
        <v>1</v>
      </c>
    </row>
    <row r="506" spans="1:12" x14ac:dyDescent="0.3">
      <c r="A506" s="3" t="s">
        <v>992</v>
      </c>
      <c r="B506" s="3" t="s">
        <v>991</v>
      </c>
      <c r="C506" s="3" t="s">
        <v>0</v>
      </c>
      <c r="D506" s="7">
        <v>0.73</v>
      </c>
      <c r="E506" s="5">
        <v>50</v>
      </c>
      <c r="F506" s="5">
        <v>61</v>
      </c>
      <c r="G506" s="5">
        <v>89</v>
      </c>
      <c r="H506" s="5">
        <v>65</v>
      </c>
      <c r="I506" s="6" t="str">
        <f t="shared" si="21"/>
        <v/>
      </c>
      <c r="J506">
        <f t="shared" si="22"/>
        <v>77.150000000000006</v>
      </c>
      <c r="K506" s="4" t="str">
        <f t="shared" si="23"/>
        <v>C</v>
      </c>
      <c r="L506">
        <f>IF(Helper!$E$3="All",1,IF(C506=Helper!$E$3,1,0))</f>
        <v>1</v>
      </c>
    </row>
    <row r="507" spans="1:12" x14ac:dyDescent="0.3">
      <c r="A507" s="3" t="s">
        <v>990</v>
      </c>
      <c r="B507" s="3" t="s">
        <v>989</v>
      </c>
      <c r="C507" s="3" t="s">
        <v>8</v>
      </c>
      <c r="D507" s="7">
        <v>0.91</v>
      </c>
      <c r="E507" s="5">
        <v>46</v>
      </c>
      <c r="F507" s="5">
        <v>51</v>
      </c>
      <c r="G507" s="5">
        <v>67</v>
      </c>
      <c r="H507" s="5">
        <v>58</v>
      </c>
      <c r="I507" s="6" t="str">
        <f t="shared" si="21"/>
        <v/>
      </c>
      <c r="J507">
        <f t="shared" si="22"/>
        <v>64.850000000000009</v>
      </c>
      <c r="K507" s="4" t="str">
        <f t="shared" si="23"/>
        <v>D</v>
      </c>
      <c r="L507">
        <f>IF(Helper!$E$3="All",1,IF(C507=Helper!$E$3,1,0))</f>
        <v>1</v>
      </c>
    </row>
    <row r="508" spans="1:12" x14ac:dyDescent="0.3">
      <c r="A508" s="3" t="s">
        <v>988</v>
      </c>
      <c r="B508" s="3" t="s">
        <v>987</v>
      </c>
      <c r="C508" s="3" t="s">
        <v>3</v>
      </c>
      <c r="D508" s="7">
        <v>0.75</v>
      </c>
      <c r="E508" s="5">
        <v>70</v>
      </c>
      <c r="F508" s="5">
        <v>63</v>
      </c>
      <c r="G508" s="5">
        <v>85</v>
      </c>
      <c r="H508" s="5">
        <v>95</v>
      </c>
      <c r="I508" s="6" t="str">
        <f t="shared" si="21"/>
        <v/>
      </c>
      <c r="J508">
        <f t="shared" si="22"/>
        <v>88.65</v>
      </c>
      <c r="K508" s="4" t="str">
        <f t="shared" si="23"/>
        <v>B</v>
      </c>
      <c r="L508">
        <f>IF(Helper!$E$3="All",1,IF(C508=Helper!$E$3,1,0))</f>
        <v>1</v>
      </c>
    </row>
    <row r="509" spans="1:12" x14ac:dyDescent="0.3">
      <c r="A509" s="3" t="s">
        <v>986</v>
      </c>
      <c r="B509" s="3" t="s">
        <v>985</v>
      </c>
      <c r="C509" s="3" t="s">
        <v>0</v>
      </c>
      <c r="D509" s="7">
        <v>0.63</v>
      </c>
      <c r="E509" s="5">
        <v>83</v>
      </c>
      <c r="F509" s="5">
        <v>86</v>
      </c>
      <c r="G509" s="5">
        <v>91</v>
      </c>
      <c r="H509" s="5">
        <v>67</v>
      </c>
      <c r="I509" s="6" t="str">
        <f t="shared" si="21"/>
        <v/>
      </c>
      <c r="J509">
        <f t="shared" si="22"/>
        <v>71.649999999999991</v>
      </c>
      <c r="K509" s="4" t="str">
        <f t="shared" si="23"/>
        <v>C</v>
      </c>
      <c r="L509">
        <f>IF(Helper!$E$3="All",1,IF(C509=Helper!$E$3,1,0))</f>
        <v>1</v>
      </c>
    </row>
    <row r="510" spans="1:12" x14ac:dyDescent="0.3">
      <c r="A510" s="3" t="s">
        <v>984</v>
      </c>
      <c r="B510" s="3" t="s">
        <v>983</v>
      </c>
      <c r="C510" s="3" t="s">
        <v>3</v>
      </c>
      <c r="D510" s="7">
        <v>0.96</v>
      </c>
      <c r="E510" s="5">
        <v>49</v>
      </c>
      <c r="F510" s="5">
        <v>79</v>
      </c>
      <c r="G510" s="5">
        <v>92</v>
      </c>
      <c r="H510" s="5">
        <v>56</v>
      </c>
      <c r="I510" s="6">
        <f t="shared" si="21"/>
        <v>-36</v>
      </c>
      <c r="J510">
        <f t="shared" si="22"/>
        <v>75.600000000000009</v>
      </c>
      <c r="K510" s="4" t="str">
        <f t="shared" si="23"/>
        <v>C</v>
      </c>
      <c r="L510">
        <f>IF(Helper!$E$3="All",1,IF(C510=Helper!$E$3,1,0))</f>
        <v>1</v>
      </c>
    </row>
    <row r="511" spans="1:12" x14ac:dyDescent="0.3">
      <c r="A511" s="3" t="s">
        <v>982</v>
      </c>
      <c r="B511" s="3" t="s">
        <v>981</v>
      </c>
      <c r="C511" s="3" t="s">
        <v>17</v>
      </c>
      <c r="D511" s="7">
        <v>0.8</v>
      </c>
      <c r="E511" s="5">
        <v>78</v>
      </c>
      <c r="F511" s="5">
        <v>77</v>
      </c>
      <c r="G511" s="5">
        <v>63</v>
      </c>
      <c r="H511" s="5">
        <v>82</v>
      </c>
      <c r="I511" s="6">
        <f t="shared" si="21"/>
        <v>19</v>
      </c>
      <c r="J511">
        <f t="shared" si="22"/>
        <v>75.75</v>
      </c>
      <c r="K511" s="4" t="str">
        <f t="shared" si="23"/>
        <v>C</v>
      </c>
      <c r="L511">
        <f>IF(Helper!$E$3="All",1,IF(C511=Helper!$E$3,1,0))</f>
        <v>1</v>
      </c>
    </row>
    <row r="512" spans="1:12" x14ac:dyDescent="0.3">
      <c r="A512" s="3" t="s">
        <v>980</v>
      </c>
      <c r="B512" s="3" t="s">
        <v>979</v>
      </c>
      <c r="C512" s="3" t="s">
        <v>8</v>
      </c>
      <c r="D512" s="7">
        <v>0.73</v>
      </c>
      <c r="E512" s="5">
        <v>52</v>
      </c>
      <c r="F512" s="5">
        <v>99</v>
      </c>
      <c r="G512" s="5">
        <v>54</v>
      </c>
      <c r="H512" s="5">
        <v>96</v>
      </c>
      <c r="I512" s="6">
        <f t="shared" si="21"/>
        <v>42</v>
      </c>
      <c r="J512">
        <f t="shared" si="22"/>
        <v>77.550000000000011</v>
      </c>
      <c r="K512" s="4" t="str">
        <f t="shared" si="23"/>
        <v>C</v>
      </c>
      <c r="L512">
        <f>IF(Helper!$E$3="All",1,IF(C512=Helper!$E$3,1,0))</f>
        <v>1</v>
      </c>
    </row>
    <row r="513" spans="1:12" x14ac:dyDescent="0.3">
      <c r="A513" s="3" t="s">
        <v>978</v>
      </c>
      <c r="B513" s="3" t="s">
        <v>977</v>
      </c>
      <c r="C513" s="3" t="s">
        <v>17</v>
      </c>
      <c r="D513" s="7">
        <v>0.9</v>
      </c>
      <c r="E513" s="5">
        <v>70</v>
      </c>
      <c r="F513" s="5">
        <v>98</v>
      </c>
      <c r="G513" s="5">
        <v>61</v>
      </c>
      <c r="H513" s="5">
        <v>80</v>
      </c>
      <c r="I513" s="6">
        <f t="shared" si="21"/>
        <v>19</v>
      </c>
      <c r="J513">
        <f t="shared" si="22"/>
        <v>74.8</v>
      </c>
      <c r="K513" s="4" t="str">
        <f t="shared" si="23"/>
        <v>C</v>
      </c>
      <c r="L513">
        <f>IF(Helper!$E$3="All",1,IF(C513=Helper!$E$3,1,0))</f>
        <v>1</v>
      </c>
    </row>
    <row r="514" spans="1:12" x14ac:dyDescent="0.3">
      <c r="A514" s="3" t="s">
        <v>976</v>
      </c>
      <c r="B514" s="3" t="s">
        <v>975</v>
      </c>
      <c r="C514" s="3" t="s">
        <v>0</v>
      </c>
      <c r="D514" s="7">
        <v>0.77</v>
      </c>
      <c r="E514" s="5">
        <v>46</v>
      </c>
      <c r="F514" s="5">
        <v>49</v>
      </c>
      <c r="G514" s="5">
        <v>69</v>
      </c>
      <c r="H514" s="5">
        <v>81</v>
      </c>
      <c r="I514" s="6">
        <f t="shared" ref="I514:I577" si="24">IF(H514&gt;G514*1.15,H514-G514,IF(H514&lt;G514*0.65,H514-G514,""))</f>
        <v>12</v>
      </c>
      <c r="J514">
        <f t="shared" ref="J514:J577" si="25">IF(ISBLANK(D514),"",IF(D514&gt;0.7,10,0)+(E514/100*5)+(F514/100*5)+(G514/100*40)+(H514/100*40))</f>
        <v>74.75</v>
      </c>
      <c r="K514" s="4" t="str">
        <f t="shared" ref="K514:K577" si="26">IF(J514&gt;=90,"A",IF(J514&gt;=80,"B",IF(J514&gt;=70,"C",IF(J514&gt;=60,"D","F"))))</f>
        <v>C</v>
      </c>
      <c r="L514">
        <f>IF(Helper!$E$3="All",1,IF(C514=Helper!$E$3,1,0))</f>
        <v>1</v>
      </c>
    </row>
    <row r="515" spans="1:12" x14ac:dyDescent="0.3">
      <c r="A515" s="3" t="s">
        <v>974</v>
      </c>
      <c r="B515" s="3" t="s">
        <v>973</v>
      </c>
      <c r="C515" s="3" t="s">
        <v>17</v>
      </c>
      <c r="D515" s="7">
        <v>0.66</v>
      </c>
      <c r="E515" s="5">
        <v>95</v>
      </c>
      <c r="F515" s="5">
        <v>74</v>
      </c>
      <c r="G515" s="5">
        <v>43</v>
      </c>
      <c r="H515" s="5">
        <v>89</v>
      </c>
      <c r="I515" s="6">
        <f t="shared" si="24"/>
        <v>46</v>
      </c>
      <c r="J515">
        <f t="shared" si="25"/>
        <v>61.25</v>
      </c>
      <c r="K515" s="4" t="str">
        <f t="shared" si="26"/>
        <v>D</v>
      </c>
      <c r="L515">
        <f>IF(Helper!$E$3="All",1,IF(C515=Helper!$E$3,1,0))</f>
        <v>1</v>
      </c>
    </row>
    <row r="516" spans="1:12" x14ac:dyDescent="0.3">
      <c r="A516" s="3" t="s">
        <v>972</v>
      </c>
      <c r="B516" s="3" t="s">
        <v>971</v>
      </c>
      <c r="C516" s="3" t="s">
        <v>17</v>
      </c>
      <c r="D516" s="7">
        <v>0.69000000000000006</v>
      </c>
      <c r="E516" s="5">
        <v>88</v>
      </c>
      <c r="F516" s="5">
        <v>90</v>
      </c>
      <c r="G516" s="5">
        <v>52</v>
      </c>
      <c r="H516" s="5">
        <v>59</v>
      </c>
      <c r="I516" s="6" t="str">
        <f t="shared" si="24"/>
        <v/>
      </c>
      <c r="J516">
        <f t="shared" si="25"/>
        <v>53.3</v>
      </c>
      <c r="K516" s="4" t="str">
        <f t="shared" si="26"/>
        <v>F</v>
      </c>
      <c r="L516">
        <f>IF(Helper!$E$3="All",1,IF(C516=Helper!$E$3,1,0))</f>
        <v>1</v>
      </c>
    </row>
    <row r="517" spans="1:12" x14ac:dyDescent="0.3">
      <c r="A517" s="3" t="s">
        <v>970</v>
      </c>
      <c r="B517" s="3" t="s">
        <v>969</v>
      </c>
      <c r="C517" s="3" t="s">
        <v>0</v>
      </c>
      <c r="D517" s="7">
        <v>0.66</v>
      </c>
      <c r="E517" s="5">
        <v>81</v>
      </c>
      <c r="F517" s="5">
        <v>88</v>
      </c>
      <c r="G517" s="5">
        <v>98</v>
      </c>
      <c r="H517" s="5">
        <v>84</v>
      </c>
      <c r="I517" s="6" t="str">
        <f t="shared" si="24"/>
        <v/>
      </c>
      <c r="J517">
        <f t="shared" si="25"/>
        <v>81.25</v>
      </c>
      <c r="K517" s="4" t="str">
        <f t="shared" si="26"/>
        <v>B</v>
      </c>
      <c r="L517">
        <f>IF(Helper!$E$3="All",1,IF(C517=Helper!$E$3,1,0))</f>
        <v>1</v>
      </c>
    </row>
    <row r="518" spans="1:12" x14ac:dyDescent="0.3">
      <c r="A518" s="3" t="s">
        <v>968</v>
      </c>
      <c r="B518" s="3" t="s">
        <v>967</v>
      </c>
      <c r="C518" s="3" t="s">
        <v>3</v>
      </c>
      <c r="D518" s="7">
        <v>0.92</v>
      </c>
      <c r="E518" s="5">
        <v>100</v>
      </c>
      <c r="F518" s="5">
        <v>71</v>
      </c>
      <c r="G518" s="5">
        <v>62</v>
      </c>
      <c r="H518" s="5">
        <v>79</v>
      </c>
      <c r="I518" s="6">
        <f t="shared" si="24"/>
        <v>17</v>
      </c>
      <c r="J518">
        <f t="shared" si="25"/>
        <v>74.95</v>
      </c>
      <c r="K518" s="4" t="str">
        <f t="shared" si="26"/>
        <v>C</v>
      </c>
      <c r="L518">
        <f>IF(Helper!$E$3="All",1,IF(C518=Helper!$E$3,1,0))</f>
        <v>1</v>
      </c>
    </row>
    <row r="519" spans="1:12" x14ac:dyDescent="0.3">
      <c r="A519" s="3" t="s">
        <v>966</v>
      </c>
      <c r="B519" s="3" t="s">
        <v>965</v>
      </c>
      <c r="C519" s="3" t="s">
        <v>17</v>
      </c>
      <c r="D519" s="7">
        <v>0.82000000000000006</v>
      </c>
      <c r="E519" s="5">
        <v>81</v>
      </c>
      <c r="F519" s="5">
        <v>46</v>
      </c>
      <c r="G519" s="5">
        <v>47</v>
      </c>
      <c r="H519" s="5">
        <v>78</v>
      </c>
      <c r="I519" s="6">
        <f t="shared" si="24"/>
        <v>31</v>
      </c>
      <c r="J519">
        <f t="shared" si="25"/>
        <v>66.349999999999994</v>
      </c>
      <c r="K519" s="4" t="str">
        <f t="shared" si="26"/>
        <v>D</v>
      </c>
      <c r="L519">
        <f>IF(Helper!$E$3="All",1,IF(C519=Helper!$E$3,1,0))</f>
        <v>1</v>
      </c>
    </row>
    <row r="520" spans="1:12" x14ac:dyDescent="0.3">
      <c r="A520" s="3" t="s">
        <v>964</v>
      </c>
      <c r="B520" s="3" t="s">
        <v>963</v>
      </c>
      <c r="C520" s="3" t="s">
        <v>3</v>
      </c>
      <c r="D520" s="7">
        <v>0.8</v>
      </c>
      <c r="E520" s="5">
        <v>95</v>
      </c>
      <c r="F520" s="5">
        <v>60</v>
      </c>
      <c r="G520" s="5">
        <v>57</v>
      </c>
      <c r="H520" s="5">
        <v>88</v>
      </c>
      <c r="I520" s="6">
        <f t="shared" si="24"/>
        <v>31</v>
      </c>
      <c r="J520">
        <f t="shared" si="25"/>
        <v>75.75</v>
      </c>
      <c r="K520" s="4" t="str">
        <f t="shared" si="26"/>
        <v>C</v>
      </c>
      <c r="L520">
        <f>IF(Helper!$E$3="All",1,IF(C520=Helper!$E$3,1,0))</f>
        <v>1</v>
      </c>
    </row>
    <row r="521" spans="1:12" x14ac:dyDescent="0.3">
      <c r="A521" s="3" t="s">
        <v>962</v>
      </c>
      <c r="B521" s="3" t="s">
        <v>961</v>
      </c>
      <c r="C521" s="3" t="s">
        <v>17</v>
      </c>
      <c r="D521" s="7">
        <v>0.78</v>
      </c>
      <c r="E521" s="5">
        <v>75</v>
      </c>
      <c r="F521" s="5">
        <v>59</v>
      </c>
      <c r="G521" s="5">
        <v>51</v>
      </c>
      <c r="H521" s="5">
        <v>92</v>
      </c>
      <c r="I521" s="6">
        <f t="shared" si="24"/>
        <v>41</v>
      </c>
      <c r="J521">
        <f t="shared" si="25"/>
        <v>73.900000000000006</v>
      </c>
      <c r="K521" s="4" t="str">
        <f t="shared" si="26"/>
        <v>C</v>
      </c>
      <c r="L521">
        <f>IF(Helper!$E$3="All",1,IF(C521=Helper!$E$3,1,0))</f>
        <v>1</v>
      </c>
    </row>
    <row r="522" spans="1:12" x14ac:dyDescent="0.3">
      <c r="A522" s="3" t="s">
        <v>960</v>
      </c>
      <c r="B522" s="3" t="s">
        <v>959</v>
      </c>
      <c r="C522" s="3" t="s">
        <v>3</v>
      </c>
      <c r="D522" s="7">
        <v>0.78</v>
      </c>
      <c r="E522" s="5">
        <v>59</v>
      </c>
      <c r="F522" s="5">
        <v>65</v>
      </c>
      <c r="G522" s="5">
        <v>94</v>
      </c>
      <c r="H522" s="5">
        <v>62</v>
      </c>
      <c r="I522" s="6" t="str">
        <f t="shared" si="24"/>
        <v/>
      </c>
      <c r="J522">
        <f t="shared" si="25"/>
        <v>78.599999999999994</v>
      </c>
      <c r="K522" s="4" t="str">
        <f t="shared" si="26"/>
        <v>C</v>
      </c>
      <c r="L522">
        <f>IF(Helper!$E$3="All",1,IF(C522=Helper!$E$3,1,0))</f>
        <v>1</v>
      </c>
    </row>
    <row r="523" spans="1:12" x14ac:dyDescent="0.3">
      <c r="A523" s="3" t="s">
        <v>958</v>
      </c>
      <c r="B523" s="3" t="s">
        <v>957</v>
      </c>
      <c r="C523" s="3" t="s">
        <v>0</v>
      </c>
      <c r="D523" s="7">
        <v>0.95000000000000007</v>
      </c>
      <c r="E523" s="5">
        <v>43</v>
      </c>
      <c r="F523" s="5">
        <v>43</v>
      </c>
      <c r="G523" s="5">
        <v>70</v>
      </c>
      <c r="H523" s="5">
        <v>86</v>
      </c>
      <c r="I523" s="6">
        <f t="shared" si="24"/>
        <v>16</v>
      </c>
      <c r="J523">
        <f t="shared" si="25"/>
        <v>76.699999999999989</v>
      </c>
      <c r="K523" s="4" t="str">
        <f t="shared" si="26"/>
        <v>C</v>
      </c>
      <c r="L523">
        <f>IF(Helper!$E$3="All",1,IF(C523=Helper!$E$3,1,0))</f>
        <v>1</v>
      </c>
    </row>
    <row r="524" spans="1:12" x14ac:dyDescent="0.3">
      <c r="A524" s="3" t="s">
        <v>956</v>
      </c>
      <c r="B524" s="3" t="s">
        <v>955</v>
      </c>
      <c r="C524" s="3" t="s">
        <v>17</v>
      </c>
      <c r="D524" s="7">
        <v>0.88</v>
      </c>
      <c r="E524" s="5">
        <v>93</v>
      </c>
      <c r="F524" s="5">
        <v>85</v>
      </c>
      <c r="G524" s="5">
        <v>53</v>
      </c>
      <c r="H524" s="5">
        <v>71</v>
      </c>
      <c r="I524" s="6">
        <f t="shared" si="24"/>
        <v>18</v>
      </c>
      <c r="J524">
        <f t="shared" si="25"/>
        <v>68.5</v>
      </c>
      <c r="K524" s="4" t="str">
        <f t="shared" si="26"/>
        <v>D</v>
      </c>
      <c r="L524">
        <f>IF(Helper!$E$3="All",1,IF(C524=Helper!$E$3,1,0))</f>
        <v>1</v>
      </c>
    </row>
    <row r="525" spans="1:12" x14ac:dyDescent="0.3">
      <c r="A525" s="3" t="s">
        <v>954</v>
      </c>
      <c r="B525" s="3" t="s">
        <v>953</v>
      </c>
      <c r="C525" s="3" t="s">
        <v>0</v>
      </c>
      <c r="D525" s="7">
        <v>0.77</v>
      </c>
      <c r="E525" s="5">
        <v>46</v>
      </c>
      <c r="F525" s="5">
        <v>91</v>
      </c>
      <c r="G525" s="5">
        <v>73</v>
      </c>
      <c r="H525" s="5">
        <v>91</v>
      </c>
      <c r="I525" s="6">
        <f t="shared" si="24"/>
        <v>18</v>
      </c>
      <c r="J525">
        <f t="shared" si="25"/>
        <v>82.449999999999989</v>
      </c>
      <c r="K525" s="4" t="str">
        <f t="shared" si="26"/>
        <v>B</v>
      </c>
      <c r="L525">
        <f>IF(Helper!$E$3="All",1,IF(C525=Helper!$E$3,1,0))</f>
        <v>1</v>
      </c>
    </row>
    <row r="526" spans="1:12" x14ac:dyDescent="0.3">
      <c r="A526" s="3" t="s">
        <v>952</v>
      </c>
      <c r="B526" s="3" t="s">
        <v>507</v>
      </c>
      <c r="C526" s="3" t="s">
        <v>17</v>
      </c>
      <c r="D526" s="7">
        <v>0.61</v>
      </c>
      <c r="E526" s="5">
        <v>93</v>
      </c>
      <c r="F526" s="5">
        <v>61</v>
      </c>
      <c r="G526" s="5">
        <v>57</v>
      </c>
      <c r="H526" s="5">
        <v>86</v>
      </c>
      <c r="I526" s="6">
        <f t="shared" si="24"/>
        <v>29</v>
      </c>
      <c r="J526">
        <f t="shared" si="25"/>
        <v>64.899999999999991</v>
      </c>
      <c r="K526" s="4" t="str">
        <f t="shared" si="26"/>
        <v>D</v>
      </c>
      <c r="L526">
        <f>IF(Helper!$E$3="All",1,IF(C526=Helper!$E$3,1,0))</f>
        <v>1</v>
      </c>
    </row>
    <row r="527" spans="1:12" x14ac:dyDescent="0.3">
      <c r="A527" s="3" t="s">
        <v>951</v>
      </c>
      <c r="B527" s="3" t="s">
        <v>950</v>
      </c>
      <c r="C527" s="3" t="s">
        <v>0</v>
      </c>
      <c r="D527" s="7">
        <v>0.6</v>
      </c>
      <c r="E527" s="5">
        <v>40</v>
      </c>
      <c r="F527" s="5">
        <v>54</v>
      </c>
      <c r="G527" s="5">
        <v>95</v>
      </c>
      <c r="H527" s="5">
        <v>72</v>
      </c>
      <c r="I527" s="6" t="str">
        <f t="shared" si="24"/>
        <v/>
      </c>
      <c r="J527">
        <f t="shared" si="25"/>
        <v>71.5</v>
      </c>
      <c r="K527" s="4" t="str">
        <f t="shared" si="26"/>
        <v>C</v>
      </c>
      <c r="L527">
        <f>IF(Helper!$E$3="All",1,IF(C527=Helper!$E$3,1,0))</f>
        <v>1</v>
      </c>
    </row>
    <row r="528" spans="1:12" x14ac:dyDescent="0.3">
      <c r="A528" s="3" t="s">
        <v>949</v>
      </c>
      <c r="B528" s="3" t="s">
        <v>948</v>
      </c>
      <c r="C528" s="3" t="s">
        <v>0</v>
      </c>
      <c r="D528" s="7">
        <v>0.64</v>
      </c>
      <c r="E528" s="5">
        <v>83</v>
      </c>
      <c r="F528" s="5">
        <v>95</v>
      </c>
      <c r="G528" s="5">
        <v>73</v>
      </c>
      <c r="H528" s="5">
        <v>96</v>
      </c>
      <c r="I528" s="6">
        <f t="shared" si="24"/>
        <v>23</v>
      </c>
      <c r="J528">
        <f t="shared" si="25"/>
        <v>76.5</v>
      </c>
      <c r="K528" s="4" t="str">
        <f t="shared" si="26"/>
        <v>C</v>
      </c>
      <c r="L528">
        <f>IF(Helper!$E$3="All",1,IF(C528=Helper!$E$3,1,0))</f>
        <v>1</v>
      </c>
    </row>
    <row r="529" spans="1:12" x14ac:dyDescent="0.3">
      <c r="A529" s="3" t="s">
        <v>947</v>
      </c>
      <c r="B529" s="3" t="s">
        <v>946</v>
      </c>
      <c r="C529" s="3" t="s">
        <v>17</v>
      </c>
      <c r="D529" s="7">
        <v>0.79</v>
      </c>
      <c r="E529" s="5">
        <v>95</v>
      </c>
      <c r="F529" s="5">
        <v>79</v>
      </c>
      <c r="G529" s="5">
        <v>50</v>
      </c>
      <c r="H529" s="5">
        <v>85</v>
      </c>
      <c r="I529" s="6">
        <f t="shared" si="24"/>
        <v>35</v>
      </c>
      <c r="J529">
        <f t="shared" si="25"/>
        <v>72.7</v>
      </c>
      <c r="K529" s="4" t="str">
        <f t="shared" si="26"/>
        <v>C</v>
      </c>
      <c r="L529">
        <f>IF(Helper!$E$3="All",1,IF(C529=Helper!$E$3,1,0))</f>
        <v>1</v>
      </c>
    </row>
    <row r="530" spans="1:12" x14ac:dyDescent="0.3">
      <c r="A530" s="3" t="s">
        <v>945</v>
      </c>
      <c r="B530" s="3" t="s">
        <v>944</v>
      </c>
      <c r="C530" s="3" t="s">
        <v>17</v>
      </c>
      <c r="D530" s="7">
        <v>0.70000000000000007</v>
      </c>
      <c r="E530" s="5">
        <v>84</v>
      </c>
      <c r="F530" s="5">
        <v>60</v>
      </c>
      <c r="G530" s="5">
        <v>80</v>
      </c>
      <c r="H530" s="5">
        <v>44</v>
      </c>
      <c r="I530" s="6">
        <f t="shared" si="24"/>
        <v>-36</v>
      </c>
      <c r="J530">
        <f t="shared" si="25"/>
        <v>56.800000000000004</v>
      </c>
      <c r="K530" s="4" t="str">
        <f t="shared" si="26"/>
        <v>F</v>
      </c>
      <c r="L530">
        <f>IF(Helper!$E$3="All",1,IF(C530=Helper!$E$3,1,0))</f>
        <v>1</v>
      </c>
    </row>
    <row r="531" spans="1:12" x14ac:dyDescent="0.3">
      <c r="A531" s="3" t="s">
        <v>943</v>
      </c>
      <c r="B531" s="3" t="s">
        <v>942</v>
      </c>
      <c r="C531" s="3" t="s">
        <v>17</v>
      </c>
      <c r="D531" s="7">
        <v>0.61</v>
      </c>
      <c r="E531" s="5">
        <v>81</v>
      </c>
      <c r="F531" s="5">
        <v>54</v>
      </c>
      <c r="G531" s="5">
        <v>51</v>
      </c>
      <c r="H531" s="5">
        <v>82</v>
      </c>
      <c r="I531" s="6">
        <f t="shared" si="24"/>
        <v>31</v>
      </c>
      <c r="J531">
        <f t="shared" si="25"/>
        <v>59.949999999999996</v>
      </c>
      <c r="K531" s="4" t="str">
        <f t="shared" si="26"/>
        <v>F</v>
      </c>
      <c r="L531">
        <f>IF(Helper!$E$3="All",1,IF(C531=Helper!$E$3,1,0))</f>
        <v>1</v>
      </c>
    </row>
    <row r="532" spans="1:12" x14ac:dyDescent="0.3">
      <c r="A532" s="3" t="s">
        <v>941</v>
      </c>
      <c r="B532" s="3" t="s">
        <v>940</v>
      </c>
      <c r="C532" s="3" t="s">
        <v>8</v>
      </c>
      <c r="D532" s="7">
        <v>0.62</v>
      </c>
      <c r="E532" s="5">
        <v>86</v>
      </c>
      <c r="F532" s="5">
        <v>61</v>
      </c>
      <c r="G532" s="5">
        <v>88</v>
      </c>
      <c r="H532" s="5">
        <v>87</v>
      </c>
      <c r="I532" s="6" t="str">
        <f t="shared" si="24"/>
        <v/>
      </c>
      <c r="J532">
        <f t="shared" si="25"/>
        <v>77.349999999999994</v>
      </c>
      <c r="K532" s="4" t="str">
        <f t="shared" si="26"/>
        <v>C</v>
      </c>
      <c r="L532">
        <f>IF(Helper!$E$3="All",1,IF(C532=Helper!$E$3,1,0))</f>
        <v>1</v>
      </c>
    </row>
    <row r="533" spans="1:12" x14ac:dyDescent="0.3">
      <c r="A533" s="3" t="s">
        <v>939</v>
      </c>
      <c r="B533" s="3" t="s">
        <v>938</v>
      </c>
      <c r="C533" s="3" t="s">
        <v>3</v>
      </c>
      <c r="D533" s="7">
        <v>0.82000000000000006</v>
      </c>
      <c r="E533" s="5">
        <v>98</v>
      </c>
      <c r="F533" s="5">
        <v>91</v>
      </c>
      <c r="G533" s="5">
        <v>54</v>
      </c>
      <c r="H533" s="5">
        <v>73</v>
      </c>
      <c r="I533" s="6">
        <f t="shared" si="24"/>
        <v>19</v>
      </c>
      <c r="J533">
        <f t="shared" si="25"/>
        <v>70.25</v>
      </c>
      <c r="K533" s="4" t="str">
        <f t="shared" si="26"/>
        <v>C</v>
      </c>
      <c r="L533">
        <f>IF(Helper!$E$3="All",1,IF(C533=Helper!$E$3,1,0))</f>
        <v>1</v>
      </c>
    </row>
    <row r="534" spans="1:12" x14ac:dyDescent="0.3">
      <c r="A534" s="3" t="s">
        <v>937</v>
      </c>
      <c r="B534" s="3" t="s">
        <v>936</v>
      </c>
      <c r="C534" s="3" t="s">
        <v>8</v>
      </c>
      <c r="D534" s="7">
        <v>0.71</v>
      </c>
      <c r="E534" s="5">
        <v>52</v>
      </c>
      <c r="F534" s="5">
        <v>67</v>
      </c>
      <c r="G534" s="5">
        <v>96</v>
      </c>
      <c r="H534" s="5">
        <v>79</v>
      </c>
      <c r="I534" s="6" t="str">
        <f t="shared" si="24"/>
        <v/>
      </c>
      <c r="J534">
        <f t="shared" si="25"/>
        <v>85.949999999999989</v>
      </c>
      <c r="K534" s="4" t="str">
        <f t="shared" si="26"/>
        <v>B</v>
      </c>
      <c r="L534">
        <f>IF(Helper!$E$3="All",1,IF(C534=Helper!$E$3,1,0))</f>
        <v>1</v>
      </c>
    </row>
    <row r="535" spans="1:12" x14ac:dyDescent="0.3">
      <c r="A535" s="3" t="s">
        <v>935</v>
      </c>
      <c r="B535" s="3" t="s">
        <v>934</v>
      </c>
      <c r="C535" s="3" t="s">
        <v>8</v>
      </c>
      <c r="D535" s="7">
        <v>0.79</v>
      </c>
      <c r="E535" s="5">
        <v>94</v>
      </c>
      <c r="F535" s="5">
        <v>53</v>
      </c>
      <c r="G535" s="5">
        <v>70</v>
      </c>
      <c r="H535" s="5">
        <v>50</v>
      </c>
      <c r="I535" s="6" t="str">
        <f t="shared" si="24"/>
        <v/>
      </c>
      <c r="J535">
        <f t="shared" si="25"/>
        <v>65.349999999999994</v>
      </c>
      <c r="K535" s="4" t="str">
        <f t="shared" si="26"/>
        <v>D</v>
      </c>
      <c r="L535">
        <f>IF(Helper!$E$3="All",1,IF(C535=Helper!$E$3,1,0))</f>
        <v>1</v>
      </c>
    </row>
    <row r="536" spans="1:12" x14ac:dyDescent="0.3">
      <c r="A536" s="3" t="s">
        <v>933</v>
      </c>
      <c r="B536" s="3" t="s">
        <v>932</v>
      </c>
      <c r="C536" s="3" t="s">
        <v>0</v>
      </c>
      <c r="D536" s="7">
        <v>0.64</v>
      </c>
      <c r="E536" s="5">
        <v>61</v>
      </c>
      <c r="F536" s="5">
        <v>66</v>
      </c>
      <c r="G536" s="5">
        <v>88</v>
      </c>
      <c r="H536" s="5">
        <v>100</v>
      </c>
      <c r="I536" s="6" t="str">
        <f t="shared" si="24"/>
        <v/>
      </c>
      <c r="J536">
        <f t="shared" si="25"/>
        <v>81.550000000000011</v>
      </c>
      <c r="K536" s="4" t="str">
        <f t="shared" si="26"/>
        <v>B</v>
      </c>
      <c r="L536">
        <f>IF(Helper!$E$3="All",1,IF(C536=Helper!$E$3,1,0))</f>
        <v>1</v>
      </c>
    </row>
    <row r="537" spans="1:12" x14ac:dyDescent="0.3">
      <c r="A537" s="3" t="s">
        <v>931</v>
      </c>
      <c r="B537" s="3" t="s">
        <v>930</v>
      </c>
      <c r="C537" s="3" t="s">
        <v>17</v>
      </c>
      <c r="D537" s="7">
        <v>0.96</v>
      </c>
      <c r="E537" s="5">
        <v>93</v>
      </c>
      <c r="F537" s="5">
        <v>100</v>
      </c>
      <c r="G537" s="5">
        <v>97</v>
      </c>
      <c r="H537" s="5">
        <v>89</v>
      </c>
      <c r="I537" s="6" t="str">
        <f t="shared" si="24"/>
        <v/>
      </c>
      <c r="J537">
        <f t="shared" si="25"/>
        <v>94.05</v>
      </c>
      <c r="K537" s="4" t="str">
        <f t="shared" si="26"/>
        <v>A</v>
      </c>
      <c r="L537">
        <f>IF(Helper!$E$3="All",1,IF(C537=Helper!$E$3,1,0))</f>
        <v>1</v>
      </c>
    </row>
    <row r="538" spans="1:12" x14ac:dyDescent="0.3">
      <c r="A538" s="3" t="s">
        <v>929</v>
      </c>
      <c r="B538" s="3" t="s">
        <v>928</v>
      </c>
      <c r="C538" s="3" t="s">
        <v>3</v>
      </c>
      <c r="D538" s="7">
        <v>0.97</v>
      </c>
      <c r="E538" s="5">
        <v>60</v>
      </c>
      <c r="F538" s="5">
        <v>80</v>
      </c>
      <c r="G538" s="5">
        <v>68</v>
      </c>
      <c r="H538" s="5">
        <v>42</v>
      </c>
      <c r="I538" s="6">
        <f t="shared" si="24"/>
        <v>-26</v>
      </c>
      <c r="J538">
        <f t="shared" si="25"/>
        <v>61</v>
      </c>
      <c r="K538" s="4" t="str">
        <f t="shared" si="26"/>
        <v>D</v>
      </c>
      <c r="L538">
        <f>IF(Helper!$E$3="All",1,IF(C538=Helper!$E$3,1,0))</f>
        <v>1</v>
      </c>
    </row>
    <row r="539" spans="1:12" x14ac:dyDescent="0.3">
      <c r="A539" s="3" t="s">
        <v>927</v>
      </c>
      <c r="B539" s="3" t="s">
        <v>926</v>
      </c>
      <c r="C539" s="3" t="s">
        <v>0</v>
      </c>
      <c r="D539" s="7">
        <v>0.89</v>
      </c>
      <c r="E539" s="5">
        <v>61</v>
      </c>
      <c r="F539" s="5">
        <v>79</v>
      </c>
      <c r="G539" s="5">
        <v>65</v>
      </c>
      <c r="H539" s="5">
        <v>97</v>
      </c>
      <c r="I539" s="6">
        <f t="shared" si="24"/>
        <v>32</v>
      </c>
      <c r="J539">
        <f t="shared" si="25"/>
        <v>81.8</v>
      </c>
      <c r="K539" s="4" t="str">
        <f t="shared" si="26"/>
        <v>B</v>
      </c>
      <c r="L539">
        <f>IF(Helper!$E$3="All",1,IF(C539=Helper!$E$3,1,0))</f>
        <v>1</v>
      </c>
    </row>
    <row r="540" spans="1:12" x14ac:dyDescent="0.3">
      <c r="A540" s="3" t="s">
        <v>925</v>
      </c>
      <c r="B540" s="3" t="s">
        <v>924</v>
      </c>
      <c r="C540" s="3" t="s">
        <v>8</v>
      </c>
      <c r="D540" s="7">
        <v>0.68</v>
      </c>
      <c r="E540" s="5">
        <v>67</v>
      </c>
      <c r="F540" s="5">
        <v>97</v>
      </c>
      <c r="G540" s="5">
        <v>57</v>
      </c>
      <c r="H540" s="5">
        <v>72</v>
      </c>
      <c r="I540" s="6">
        <f t="shared" si="24"/>
        <v>15</v>
      </c>
      <c r="J540">
        <f t="shared" si="25"/>
        <v>59.8</v>
      </c>
      <c r="K540" s="4" t="str">
        <f t="shared" si="26"/>
        <v>F</v>
      </c>
      <c r="L540">
        <f>IF(Helper!$E$3="All",1,IF(C540=Helper!$E$3,1,0))</f>
        <v>1</v>
      </c>
    </row>
    <row r="541" spans="1:12" x14ac:dyDescent="0.3">
      <c r="A541" s="3" t="s">
        <v>923</v>
      </c>
      <c r="B541" s="3" t="s">
        <v>922</v>
      </c>
      <c r="C541" s="3" t="s">
        <v>17</v>
      </c>
      <c r="D541" s="7">
        <v>0.93</v>
      </c>
      <c r="E541" s="5">
        <v>48</v>
      </c>
      <c r="F541" s="5">
        <v>67</v>
      </c>
      <c r="G541" s="5">
        <v>71</v>
      </c>
      <c r="H541" s="5">
        <v>50</v>
      </c>
      <c r="I541" s="6" t="str">
        <f t="shared" si="24"/>
        <v/>
      </c>
      <c r="J541">
        <f t="shared" si="25"/>
        <v>64.150000000000006</v>
      </c>
      <c r="K541" s="4" t="str">
        <f t="shared" si="26"/>
        <v>D</v>
      </c>
      <c r="L541">
        <f>IF(Helper!$E$3="All",1,IF(C541=Helper!$E$3,1,0))</f>
        <v>1</v>
      </c>
    </row>
    <row r="542" spans="1:12" x14ac:dyDescent="0.3">
      <c r="A542" s="3" t="s">
        <v>921</v>
      </c>
      <c r="B542" s="3" t="s">
        <v>920</v>
      </c>
      <c r="C542" s="3" t="s">
        <v>0</v>
      </c>
      <c r="D542" s="7">
        <v>0.94000000000000006</v>
      </c>
      <c r="E542" s="5">
        <v>65</v>
      </c>
      <c r="F542" s="5">
        <v>65</v>
      </c>
      <c r="G542" s="5">
        <v>61</v>
      </c>
      <c r="H542" s="5">
        <v>55</v>
      </c>
      <c r="I542" s="6" t="str">
        <f t="shared" si="24"/>
        <v/>
      </c>
      <c r="J542">
        <f t="shared" si="25"/>
        <v>62.9</v>
      </c>
      <c r="K542" s="4" t="str">
        <f t="shared" si="26"/>
        <v>D</v>
      </c>
      <c r="L542">
        <f>IF(Helper!$E$3="All",1,IF(C542=Helper!$E$3,1,0))</f>
        <v>1</v>
      </c>
    </row>
    <row r="543" spans="1:12" x14ac:dyDescent="0.3">
      <c r="A543" s="3" t="s">
        <v>919</v>
      </c>
      <c r="B543" s="3" t="s">
        <v>918</v>
      </c>
      <c r="C543" s="3" t="s">
        <v>17</v>
      </c>
      <c r="D543" s="7">
        <v>0.81</v>
      </c>
      <c r="E543" s="5">
        <v>48</v>
      </c>
      <c r="F543" s="5">
        <v>88</v>
      </c>
      <c r="G543" s="5">
        <v>77</v>
      </c>
      <c r="H543" s="5">
        <v>57</v>
      </c>
      <c r="I543" s="6" t="str">
        <f t="shared" si="24"/>
        <v/>
      </c>
      <c r="J543">
        <f t="shared" si="25"/>
        <v>70.400000000000006</v>
      </c>
      <c r="K543" s="4" t="str">
        <f t="shared" si="26"/>
        <v>C</v>
      </c>
      <c r="L543">
        <f>IF(Helper!$E$3="All",1,IF(C543=Helper!$E$3,1,0))</f>
        <v>1</v>
      </c>
    </row>
    <row r="544" spans="1:12" x14ac:dyDescent="0.3">
      <c r="A544" s="3" t="s">
        <v>917</v>
      </c>
      <c r="B544" s="3" t="s">
        <v>916</v>
      </c>
      <c r="C544" s="3" t="s">
        <v>0</v>
      </c>
      <c r="D544" s="7">
        <v>0.83000000000000007</v>
      </c>
      <c r="E544" s="5">
        <v>54</v>
      </c>
      <c r="F544" s="5">
        <v>41</v>
      </c>
      <c r="G544" s="5">
        <v>56</v>
      </c>
      <c r="H544" s="5">
        <v>69</v>
      </c>
      <c r="I544" s="6">
        <f t="shared" si="24"/>
        <v>13</v>
      </c>
      <c r="J544">
        <f t="shared" si="25"/>
        <v>64.75</v>
      </c>
      <c r="K544" s="4" t="str">
        <f t="shared" si="26"/>
        <v>D</v>
      </c>
      <c r="L544">
        <f>IF(Helper!$E$3="All",1,IF(C544=Helper!$E$3,1,0))</f>
        <v>1</v>
      </c>
    </row>
    <row r="545" spans="1:12" x14ac:dyDescent="0.3">
      <c r="A545" s="3" t="s">
        <v>915</v>
      </c>
      <c r="B545" s="3" t="s">
        <v>914</v>
      </c>
      <c r="C545" s="3" t="s">
        <v>17</v>
      </c>
      <c r="D545" s="7">
        <v>0.76</v>
      </c>
      <c r="E545" s="5">
        <v>49</v>
      </c>
      <c r="F545" s="5">
        <v>64</v>
      </c>
      <c r="G545" s="5">
        <v>62</v>
      </c>
      <c r="H545" s="5">
        <v>87</v>
      </c>
      <c r="I545" s="6">
        <f t="shared" si="24"/>
        <v>25</v>
      </c>
      <c r="J545">
        <f t="shared" si="25"/>
        <v>75.25</v>
      </c>
      <c r="K545" s="4" t="str">
        <f t="shared" si="26"/>
        <v>C</v>
      </c>
      <c r="L545">
        <f>IF(Helper!$E$3="All",1,IF(C545=Helper!$E$3,1,0))</f>
        <v>1</v>
      </c>
    </row>
    <row r="546" spans="1:12" x14ac:dyDescent="0.3">
      <c r="A546" s="3" t="s">
        <v>913</v>
      </c>
      <c r="B546" s="3" t="s">
        <v>912</v>
      </c>
      <c r="C546" s="3" t="s">
        <v>8</v>
      </c>
      <c r="D546" s="7">
        <v>0.69000000000000006</v>
      </c>
      <c r="E546" s="5">
        <v>63</v>
      </c>
      <c r="F546" s="5">
        <v>95</v>
      </c>
      <c r="G546" s="5">
        <v>63</v>
      </c>
      <c r="H546" s="5">
        <v>94</v>
      </c>
      <c r="I546" s="6">
        <f t="shared" si="24"/>
        <v>31</v>
      </c>
      <c r="J546">
        <f t="shared" si="25"/>
        <v>70.699999999999989</v>
      </c>
      <c r="K546" s="4" t="str">
        <f t="shared" si="26"/>
        <v>C</v>
      </c>
      <c r="L546">
        <f>IF(Helper!$E$3="All",1,IF(C546=Helper!$E$3,1,0))</f>
        <v>1</v>
      </c>
    </row>
    <row r="547" spans="1:12" x14ac:dyDescent="0.3">
      <c r="A547" s="3" t="s">
        <v>911</v>
      </c>
      <c r="B547" s="3" t="s">
        <v>910</v>
      </c>
      <c r="C547" s="3" t="s">
        <v>3</v>
      </c>
      <c r="D547" s="7">
        <v>0.89</v>
      </c>
      <c r="E547" s="5">
        <v>97</v>
      </c>
      <c r="F547" s="5">
        <v>42</v>
      </c>
      <c r="G547" s="5">
        <v>89</v>
      </c>
      <c r="H547" s="5">
        <v>49</v>
      </c>
      <c r="I547" s="6">
        <f t="shared" si="24"/>
        <v>-40</v>
      </c>
      <c r="J547">
        <f t="shared" si="25"/>
        <v>72.150000000000006</v>
      </c>
      <c r="K547" s="4" t="str">
        <f t="shared" si="26"/>
        <v>C</v>
      </c>
      <c r="L547">
        <f>IF(Helper!$E$3="All",1,IF(C547=Helper!$E$3,1,0))</f>
        <v>1</v>
      </c>
    </row>
    <row r="548" spans="1:12" x14ac:dyDescent="0.3">
      <c r="A548" s="3" t="s">
        <v>909</v>
      </c>
      <c r="B548" s="3" t="s">
        <v>908</v>
      </c>
      <c r="C548" s="3" t="s">
        <v>8</v>
      </c>
      <c r="D548" s="7">
        <v>0.82000000000000006</v>
      </c>
      <c r="E548" s="5">
        <v>96</v>
      </c>
      <c r="F548" s="5">
        <v>47</v>
      </c>
      <c r="G548" s="5">
        <v>47</v>
      </c>
      <c r="H548" s="5">
        <v>57</v>
      </c>
      <c r="I548" s="6">
        <f t="shared" si="24"/>
        <v>10</v>
      </c>
      <c r="J548">
        <f t="shared" si="25"/>
        <v>58.749999999999993</v>
      </c>
      <c r="K548" s="4" t="str">
        <f t="shared" si="26"/>
        <v>F</v>
      </c>
      <c r="L548">
        <f>IF(Helper!$E$3="All",1,IF(C548=Helper!$E$3,1,0))</f>
        <v>1</v>
      </c>
    </row>
    <row r="549" spans="1:12" x14ac:dyDescent="0.3">
      <c r="A549" s="3" t="s">
        <v>907</v>
      </c>
      <c r="B549" s="3" t="s">
        <v>906</v>
      </c>
      <c r="C549" s="3" t="s">
        <v>3</v>
      </c>
      <c r="D549" s="7">
        <v>0.91</v>
      </c>
      <c r="E549" s="5">
        <v>100</v>
      </c>
      <c r="F549" s="5">
        <v>83</v>
      </c>
      <c r="G549" s="5">
        <v>80</v>
      </c>
      <c r="H549" s="5">
        <v>77</v>
      </c>
      <c r="I549" s="6" t="str">
        <f t="shared" si="24"/>
        <v/>
      </c>
      <c r="J549">
        <f t="shared" si="25"/>
        <v>81.95</v>
      </c>
      <c r="K549" s="4" t="str">
        <f t="shared" si="26"/>
        <v>B</v>
      </c>
      <c r="L549">
        <f>IF(Helper!$E$3="All",1,IF(C549=Helper!$E$3,1,0))</f>
        <v>1</v>
      </c>
    </row>
    <row r="550" spans="1:12" x14ac:dyDescent="0.3">
      <c r="A550" s="3" t="s">
        <v>905</v>
      </c>
      <c r="B550" s="3" t="s">
        <v>904</v>
      </c>
      <c r="C550" s="3" t="s">
        <v>17</v>
      </c>
      <c r="D550" s="7">
        <v>0.76</v>
      </c>
      <c r="E550" s="5">
        <v>81</v>
      </c>
      <c r="F550" s="5">
        <v>72</v>
      </c>
      <c r="G550" s="5">
        <v>45</v>
      </c>
      <c r="H550" s="5">
        <v>58</v>
      </c>
      <c r="I550" s="6">
        <f t="shared" si="24"/>
        <v>13</v>
      </c>
      <c r="J550">
        <f t="shared" si="25"/>
        <v>58.849999999999994</v>
      </c>
      <c r="K550" s="4" t="str">
        <f t="shared" si="26"/>
        <v>F</v>
      </c>
      <c r="L550">
        <f>IF(Helper!$E$3="All",1,IF(C550=Helper!$E$3,1,0))</f>
        <v>1</v>
      </c>
    </row>
    <row r="551" spans="1:12" x14ac:dyDescent="0.3">
      <c r="A551" s="3" t="s">
        <v>903</v>
      </c>
      <c r="B551" s="3" t="s">
        <v>902</v>
      </c>
      <c r="C551" s="3" t="s">
        <v>0</v>
      </c>
      <c r="D551" s="7">
        <v>0.76</v>
      </c>
      <c r="E551" s="5">
        <v>47</v>
      </c>
      <c r="F551" s="5">
        <v>81</v>
      </c>
      <c r="G551" s="5">
        <v>44</v>
      </c>
      <c r="H551" s="5">
        <v>75</v>
      </c>
      <c r="I551" s="6">
        <f t="shared" si="24"/>
        <v>31</v>
      </c>
      <c r="J551">
        <f t="shared" si="25"/>
        <v>64</v>
      </c>
      <c r="K551" s="4" t="str">
        <f t="shared" si="26"/>
        <v>D</v>
      </c>
      <c r="L551">
        <f>IF(Helper!$E$3="All",1,IF(C551=Helper!$E$3,1,0))</f>
        <v>1</v>
      </c>
    </row>
    <row r="552" spans="1:12" x14ac:dyDescent="0.3">
      <c r="A552" s="3" t="s">
        <v>901</v>
      </c>
      <c r="B552" s="3" t="s">
        <v>900</v>
      </c>
      <c r="C552" s="3" t="s">
        <v>8</v>
      </c>
      <c r="D552" s="7">
        <v>0.73</v>
      </c>
      <c r="E552" s="5">
        <v>63</v>
      </c>
      <c r="F552" s="5">
        <v>91</v>
      </c>
      <c r="G552" s="5">
        <v>83</v>
      </c>
      <c r="H552" s="5">
        <v>98</v>
      </c>
      <c r="I552" s="6">
        <f t="shared" si="24"/>
        <v>15</v>
      </c>
      <c r="J552">
        <f t="shared" si="25"/>
        <v>90.1</v>
      </c>
      <c r="K552" s="4" t="str">
        <f t="shared" si="26"/>
        <v>A</v>
      </c>
      <c r="L552">
        <f>IF(Helper!$E$3="All",1,IF(C552=Helper!$E$3,1,0))</f>
        <v>1</v>
      </c>
    </row>
    <row r="553" spans="1:12" x14ac:dyDescent="0.3">
      <c r="A553" s="3" t="s">
        <v>899</v>
      </c>
      <c r="B553" s="3" t="s">
        <v>898</v>
      </c>
      <c r="C553" s="3" t="s">
        <v>3</v>
      </c>
      <c r="D553" s="7">
        <v>0.68</v>
      </c>
      <c r="E553" s="5">
        <v>55</v>
      </c>
      <c r="F553" s="5">
        <v>74</v>
      </c>
      <c r="G553" s="5">
        <v>96</v>
      </c>
      <c r="H553" s="5">
        <v>52</v>
      </c>
      <c r="I553" s="6">
        <f t="shared" si="24"/>
        <v>-44</v>
      </c>
      <c r="J553">
        <f t="shared" si="25"/>
        <v>65.650000000000006</v>
      </c>
      <c r="K553" s="4" t="str">
        <f t="shared" si="26"/>
        <v>D</v>
      </c>
      <c r="L553">
        <f>IF(Helper!$E$3="All",1,IF(C553=Helper!$E$3,1,0))</f>
        <v>1</v>
      </c>
    </row>
    <row r="554" spans="1:12" x14ac:dyDescent="0.3">
      <c r="A554" s="3" t="s">
        <v>897</v>
      </c>
      <c r="B554" s="3" t="s">
        <v>896</v>
      </c>
      <c r="C554" s="3" t="s">
        <v>8</v>
      </c>
      <c r="D554" s="7">
        <v>0.99</v>
      </c>
      <c r="E554" s="5">
        <v>88</v>
      </c>
      <c r="F554" s="5">
        <v>45</v>
      </c>
      <c r="G554" s="5">
        <v>68</v>
      </c>
      <c r="H554" s="5">
        <v>95</v>
      </c>
      <c r="I554" s="6">
        <f t="shared" si="24"/>
        <v>27</v>
      </c>
      <c r="J554">
        <f t="shared" si="25"/>
        <v>81.849999999999994</v>
      </c>
      <c r="K554" s="4" t="str">
        <f t="shared" si="26"/>
        <v>B</v>
      </c>
      <c r="L554">
        <f>IF(Helper!$E$3="All",1,IF(C554=Helper!$E$3,1,0))</f>
        <v>1</v>
      </c>
    </row>
    <row r="555" spans="1:12" x14ac:dyDescent="0.3">
      <c r="A555" s="3" t="s">
        <v>895</v>
      </c>
      <c r="B555" s="3" t="s">
        <v>894</v>
      </c>
      <c r="C555" s="3" t="s">
        <v>3</v>
      </c>
      <c r="D555" s="7">
        <v>0.61</v>
      </c>
      <c r="E555" s="5">
        <v>65</v>
      </c>
      <c r="F555" s="5">
        <v>78</v>
      </c>
      <c r="G555" s="5">
        <v>67</v>
      </c>
      <c r="H555" s="5">
        <v>85</v>
      </c>
      <c r="I555" s="6">
        <f t="shared" si="24"/>
        <v>18</v>
      </c>
      <c r="J555">
        <f t="shared" si="25"/>
        <v>67.95</v>
      </c>
      <c r="K555" s="4" t="str">
        <f t="shared" si="26"/>
        <v>D</v>
      </c>
      <c r="L555">
        <f>IF(Helper!$E$3="All",1,IF(C555=Helper!$E$3,1,0))</f>
        <v>1</v>
      </c>
    </row>
    <row r="556" spans="1:12" x14ac:dyDescent="0.3">
      <c r="A556" s="3" t="s">
        <v>893</v>
      </c>
      <c r="B556" s="3" t="s">
        <v>892</v>
      </c>
      <c r="C556" s="3" t="s">
        <v>8</v>
      </c>
      <c r="D556" s="7">
        <v>0.84</v>
      </c>
      <c r="E556" s="5">
        <v>66</v>
      </c>
      <c r="F556" s="5">
        <v>91</v>
      </c>
      <c r="G556" s="5">
        <v>50</v>
      </c>
      <c r="H556" s="5">
        <v>42</v>
      </c>
      <c r="I556" s="6" t="str">
        <f t="shared" si="24"/>
        <v/>
      </c>
      <c r="J556">
        <f t="shared" si="25"/>
        <v>54.650000000000006</v>
      </c>
      <c r="K556" s="4" t="str">
        <f t="shared" si="26"/>
        <v>F</v>
      </c>
      <c r="L556">
        <f>IF(Helper!$E$3="All",1,IF(C556=Helper!$E$3,1,0))</f>
        <v>1</v>
      </c>
    </row>
    <row r="557" spans="1:12" x14ac:dyDescent="0.3">
      <c r="A557" s="3" t="s">
        <v>891</v>
      </c>
      <c r="B557" s="3" t="s">
        <v>890</v>
      </c>
      <c r="C557" s="3" t="s">
        <v>3</v>
      </c>
      <c r="D557" s="7">
        <v>0.98</v>
      </c>
      <c r="E557" s="5">
        <v>76</v>
      </c>
      <c r="F557" s="5">
        <v>62</v>
      </c>
      <c r="G557" s="5">
        <v>96</v>
      </c>
      <c r="H557" s="5">
        <v>49</v>
      </c>
      <c r="I557" s="6">
        <f t="shared" si="24"/>
        <v>-47</v>
      </c>
      <c r="J557">
        <f t="shared" si="25"/>
        <v>74.900000000000006</v>
      </c>
      <c r="K557" s="4" t="str">
        <f t="shared" si="26"/>
        <v>C</v>
      </c>
      <c r="L557">
        <f>IF(Helper!$E$3="All",1,IF(C557=Helper!$E$3,1,0))</f>
        <v>1</v>
      </c>
    </row>
    <row r="558" spans="1:12" x14ac:dyDescent="0.3">
      <c r="A558" s="3" t="s">
        <v>889</v>
      </c>
      <c r="B558" s="3" t="s">
        <v>888</v>
      </c>
      <c r="C558" s="3" t="s">
        <v>3</v>
      </c>
      <c r="D558" s="7">
        <v>0.68</v>
      </c>
      <c r="E558" s="5">
        <v>43</v>
      </c>
      <c r="F558" s="5">
        <v>64</v>
      </c>
      <c r="G558" s="5">
        <v>40</v>
      </c>
      <c r="H558" s="5">
        <v>77</v>
      </c>
      <c r="I558" s="6">
        <f t="shared" si="24"/>
        <v>37</v>
      </c>
      <c r="J558">
        <f t="shared" si="25"/>
        <v>52.150000000000006</v>
      </c>
      <c r="K558" s="4" t="str">
        <f t="shared" si="26"/>
        <v>F</v>
      </c>
      <c r="L558">
        <f>IF(Helper!$E$3="All",1,IF(C558=Helper!$E$3,1,0))</f>
        <v>1</v>
      </c>
    </row>
    <row r="559" spans="1:12" x14ac:dyDescent="0.3">
      <c r="A559" s="3" t="s">
        <v>887</v>
      </c>
      <c r="B559" s="3" t="s">
        <v>886</v>
      </c>
      <c r="C559" s="3" t="s">
        <v>17</v>
      </c>
      <c r="D559" s="7">
        <v>0.81</v>
      </c>
      <c r="E559" s="5">
        <v>89</v>
      </c>
      <c r="F559" s="5">
        <v>98</v>
      </c>
      <c r="G559" s="5">
        <v>82</v>
      </c>
      <c r="H559" s="5">
        <v>40</v>
      </c>
      <c r="I559" s="6">
        <f t="shared" si="24"/>
        <v>-42</v>
      </c>
      <c r="J559">
        <f t="shared" si="25"/>
        <v>68.150000000000006</v>
      </c>
      <c r="K559" s="4" t="str">
        <f t="shared" si="26"/>
        <v>D</v>
      </c>
      <c r="L559">
        <f>IF(Helper!$E$3="All",1,IF(C559=Helper!$E$3,1,0))</f>
        <v>1</v>
      </c>
    </row>
    <row r="560" spans="1:12" x14ac:dyDescent="0.3">
      <c r="A560" s="3" t="s">
        <v>885</v>
      </c>
      <c r="B560" s="3" t="s">
        <v>884</v>
      </c>
      <c r="C560" s="3" t="s">
        <v>3</v>
      </c>
      <c r="D560" s="7">
        <v>0.63</v>
      </c>
      <c r="E560" s="5">
        <v>63</v>
      </c>
      <c r="F560" s="5">
        <v>89</v>
      </c>
      <c r="G560" s="5">
        <v>58</v>
      </c>
      <c r="H560" s="5">
        <v>94</v>
      </c>
      <c r="I560" s="6">
        <f t="shared" si="24"/>
        <v>36</v>
      </c>
      <c r="J560">
        <f t="shared" si="25"/>
        <v>68.399999999999991</v>
      </c>
      <c r="K560" s="4" t="str">
        <f t="shared" si="26"/>
        <v>D</v>
      </c>
      <c r="L560">
        <f>IF(Helper!$E$3="All",1,IF(C560=Helper!$E$3,1,0))</f>
        <v>1</v>
      </c>
    </row>
    <row r="561" spans="1:12" x14ac:dyDescent="0.3">
      <c r="A561" s="3" t="s">
        <v>883</v>
      </c>
      <c r="B561" s="3" t="s">
        <v>882</v>
      </c>
      <c r="C561" s="3" t="s">
        <v>17</v>
      </c>
      <c r="D561" s="7">
        <v>0.85</v>
      </c>
      <c r="E561" s="5">
        <v>58</v>
      </c>
      <c r="F561" s="5">
        <v>82</v>
      </c>
      <c r="G561" s="5">
        <v>48</v>
      </c>
      <c r="H561" s="5">
        <v>95</v>
      </c>
      <c r="I561" s="6">
        <f t="shared" si="24"/>
        <v>47</v>
      </c>
      <c r="J561">
        <f t="shared" si="25"/>
        <v>74.2</v>
      </c>
      <c r="K561" s="4" t="str">
        <f t="shared" si="26"/>
        <v>C</v>
      </c>
      <c r="L561">
        <f>IF(Helper!$E$3="All",1,IF(C561=Helper!$E$3,1,0))</f>
        <v>1</v>
      </c>
    </row>
    <row r="562" spans="1:12" x14ac:dyDescent="0.3">
      <c r="A562" s="3" t="s">
        <v>881</v>
      </c>
      <c r="B562" s="3" t="s">
        <v>880</v>
      </c>
      <c r="C562" s="3" t="s">
        <v>3</v>
      </c>
      <c r="D562" s="7">
        <v>0.88</v>
      </c>
      <c r="E562" s="5">
        <v>75</v>
      </c>
      <c r="F562" s="5">
        <v>58</v>
      </c>
      <c r="G562" s="5">
        <v>66</v>
      </c>
      <c r="H562" s="5">
        <v>66</v>
      </c>
      <c r="I562" s="6" t="str">
        <f t="shared" si="24"/>
        <v/>
      </c>
      <c r="J562">
        <f t="shared" si="25"/>
        <v>69.45</v>
      </c>
      <c r="K562" s="4" t="str">
        <f t="shared" si="26"/>
        <v>D</v>
      </c>
      <c r="L562">
        <f>IF(Helper!$E$3="All",1,IF(C562=Helper!$E$3,1,0))</f>
        <v>1</v>
      </c>
    </row>
    <row r="563" spans="1:12" x14ac:dyDescent="0.3">
      <c r="A563" s="3" t="s">
        <v>879</v>
      </c>
      <c r="B563" s="3" t="s">
        <v>878</v>
      </c>
      <c r="C563" s="3" t="s">
        <v>0</v>
      </c>
      <c r="D563" s="7">
        <v>0.93</v>
      </c>
      <c r="E563" s="5">
        <v>99</v>
      </c>
      <c r="F563" s="5">
        <v>44</v>
      </c>
      <c r="G563" s="5">
        <v>73</v>
      </c>
      <c r="H563" s="5">
        <v>85</v>
      </c>
      <c r="I563" s="6">
        <f t="shared" si="24"/>
        <v>12</v>
      </c>
      <c r="J563">
        <f t="shared" si="25"/>
        <v>80.349999999999994</v>
      </c>
      <c r="K563" s="4" t="str">
        <f t="shared" si="26"/>
        <v>B</v>
      </c>
      <c r="L563">
        <f>IF(Helper!$E$3="All",1,IF(C563=Helper!$E$3,1,0))</f>
        <v>1</v>
      </c>
    </row>
    <row r="564" spans="1:12" x14ac:dyDescent="0.3">
      <c r="A564" s="3" t="s">
        <v>877</v>
      </c>
      <c r="B564" s="3" t="s">
        <v>876</v>
      </c>
      <c r="C564" s="3" t="s">
        <v>0</v>
      </c>
      <c r="D564" s="7">
        <v>0.82000000000000006</v>
      </c>
      <c r="E564" s="5">
        <v>78</v>
      </c>
      <c r="F564" s="5">
        <v>90</v>
      </c>
      <c r="G564" s="5">
        <v>83</v>
      </c>
      <c r="H564" s="5">
        <v>47</v>
      </c>
      <c r="I564" s="6">
        <f t="shared" si="24"/>
        <v>-36</v>
      </c>
      <c r="J564">
        <f t="shared" si="25"/>
        <v>70.399999999999991</v>
      </c>
      <c r="K564" s="4" t="str">
        <f t="shared" si="26"/>
        <v>C</v>
      </c>
      <c r="L564">
        <f>IF(Helper!$E$3="All",1,IF(C564=Helper!$E$3,1,0))</f>
        <v>1</v>
      </c>
    </row>
    <row r="565" spans="1:12" x14ac:dyDescent="0.3">
      <c r="A565" s="3" t="s">
        <v>875</v>
      </c>
      <c r="B565" s="3" t="s">
        <v>874</v>
      </c>
      <c r="C565" s="3" t="s">
        <v>0</v>
      </c>
      <c r="D565" s="7">
        <v>0.96</v>
      </c>
      <c r="E565" s="5">
        <v>49</v>
      </c>
      <c r="F565" s="5">
        <v>50</v>
      </c>
      <c r="G565" s="5">
        <v>43</v>
      </c>
      <c r="H565" s="5">
        <v>90</v>
      </c>
      <c r="I565" s="6">
        <f t="shared" si="24"/>
        <v>47</v>
      </c>
      <c r="J565">
        <f t="shared" si="25"/>
        <v>68.150000000000006</v>
      </c>
      <c r="K565" s="4" t="str">
        <f t="shared" si="26"/>
        <v>D</v>
      </c>
      <c r="L565">
        <f>IF(Helper!$E$3="All",1,IF(C565=Helper!$E$3,1,0))</f>
        <v>1</v>
      </c>
    </row>
    <row r="566" spans="1:12" x14ac:dyDescent="0.3">
      <c r="A566" s="3" t="s">
        <v>873</v>
      </c>
      <c r="B566" s="3" t="s">
        <v>872</v>
      </c>
      <c r="C566" s="3" t="s">
        <v>3</v>
      </c>
      <c r="D566" s="7">
        <v>0.70000000000000007</v>
      </c>
      <c r="E566" s="5">
        <v>64</v>
      </c>
      <c r="F566" s="5">
        <v>95</v>
      </c>
      <c r="G566" s="5">
        <v>75</v>
      </c>
      <c r="H566" s="5">
        <v>85</v>
      </c>
      <c r="I566" s="6" t="str">
        <f t="shared" si="24"/>
        <v/>
      </c>
      <c r="J566">
        <f t="shared" si="25"/>
        <v>71.95</v>
      </c>
      <c r="K566" s="4" t="str">
        <f t="shared" si="26"/>
        <v>C</v>
      </c>
      <c r="L566">
        <f>IF(Helper!$E$3="All",1,IF(C566=Helper!$E$3,1,0))</f>
        <v>1</v>
      </c>
    </row>
    <row r="567" spans="1:12" x14ac:dyDescent="0.3">
      <c r="A567" s="3" t="s">
        <v>871</v>
      </c>
      <c r="B567" s="3" t="s">
        <v>870</v>
      </c>
      <c r="C567" s="3" t="s">
        <v>17</v>
      </c>
      <c r="D567" s="7">
        <v>0.65</v>
      </c>
      <c r="E567" s="5">
        <v>57</v>
      </c>
      <c r="F567" s="5">
        <v>51</v>
      </c>
      <c r="G567" s="5">
        <v>57</v>
      </c>
      <c r="H567" s="5">
        <v>81</v>
      </c>
      <c r="I567" s="6">
        <f t="shared" si="24"/>
        <v>24</v>
      </c>
      <c r="J567">
        <f t="shared" si="25"/>
        <v>60.6</v>
      </c>
      <c r="K567" s="4" t="str">
        <f t="shared" si="26"/>
        <v>D</v>
      </c>
      <c r="L567">
        <f>IF(Helper!$E$3="All",1,IF(C567=Helper!$E$3,1,0))</f>
        <v>1</v>
      </c>
    </row>
    <row r="568" spans="1:12" x14ac:dyDescent="0.3">
      <c r="A568" s="3" t="s">
        <v>869</v>
      </c>
      <c r="B568" s="3" t="s">
        <v>868</v>
      </c>
      <c r="C568" s="3" t="s">
        <v>17</v>
      </c>
      <c r="D568" s="7">
        <v>0.77</v>
      </c>
      <c r="E568" s="5">
        <v>58</v>
      </c>
      <c r="F568" s="5">
        <v>49</v>
      </c>
      <c r="G568" s="5">
        <v>54</v>
      </c>
      <c r="H568" s="5">
        <v>56</v>
      </c>
      <c r="I568" s="6" t="str">
        <f t="shared" si="24"/>
        <v/>
      </c>
      <c r="J568">
        <f t="shared" si="25"/>
        <v>59.350000000000009</v>
      </c>
      <c r="K568" s="4" t="str">
        <f t="shared" si="26"/>
        <v>F</v>
      </c>
      <c r="L568">
        <f>IF(Helper!$E$3="All",1,IF(C568=Helper!$E$3,1,0))</f>
        <v>1</v>
      </c>
    </row>
    <row r="569" spans="1:12" x14ac:dyDescent="0.3">
      <c r="A569" s="3" t="s">
        <v>867</v>
      </c>
      <c r="B569" s="3" t="s">
        <v>866</v>
      </c>
      <c r="C569" s="3" t="s">
        <v>3</v>
      </c>
      <c r="D569" s="7">
        <v>0.8</v>
      </c>
      <c r="E569" s="5">
        <v>75</v>
      </c>
      <c r="F569" s="5">
        <v>47</v>
      </c>
      <c r="G569" s="5">
        <v>90</v>
      </c>
      <c r="H569" s="5">
        <v>48</v>
      </c>
      <c r="I569" s="6">
        <f t="shared" si="24"/>
        <v>-42</v>
      </c>
      <c r="J569">
        <f t="shared" si="25"/>
        <v>71.3</v>
      </c>
      <c r="K569" s="4" t="str">
        <f t="shared" si="26"/>
        <v>C</v>
      </c>
      <c r="L569">
        <f>IF(Helper!$E$3="All",1,IF(C569=Helper!$E$3,1,0))</f>
        <v>1</v>
      </c>
    </row>
    <row r="570" spans="1:12" x14ac:dyDescent="0.3">
      <c r="A570" s="3" t="s">
        <v>865</v>
      </c>
      <c r="B570" s="3" t="s">
        <v>864</v>
      </c>
      <c r="C570" s="3" t="s">
        <v>0</v>
      </c>
      <c r="D570" s="7">
        <v>0.95000000000000007</v>
      </c>
      <c r="E570" s="5">
        <v>49</v>
      </c>
      <c r="F570" s="5">
        <v>63</v>
      </c>
      <c r="G570" s="5">
        <v>52</v>
      </c>
      <c r="H570" s="5">
        <v>100</v>
      </c>
      <c r="I570" s="6">
        <f t="shared" si="24"/>
        <v>48</v>
      </c>
      <c r="J570">
        <f t="shared" si="25"/>
        <v>76.400000000000006</v>
      </c>
      <c r="K570" s="4" t="str">
        <f t="shared" si="26"/>
        <v>C</v>
      </c>
      <c r="L570">
        <f>IF(Helper!$E$3="All",1,IF(C570=Helper!$E$3,1,0))</f>
        <v>1</v>
      </c>
    </row>
    <row r="571" spans="1:12" x14ac:dyDescent="0.3">
      <c r="A571" s="3" t="s">
        <v>863</v>
      </c>
      <c r="B571" s="3" t="s">
        <v>862</v>
      </c>
      <c r="C571" s="3" t="s">
        <v>0</v>
      </c>
      <c r="D571" s="7">
        <v>1</v>
      </c>
      <c r="E571" s="5">
        <v>72</v>
      </c>
      <c r="F571" s="5">
        <v>99</v>
      </c>
      <c r="G571" s="5">
        <v>58</v>
      </c>
      <c r="H571" s="5">
        <v>45</v>
      </c>
      <c r="I571" s="6" t="str">
        <f t="shared" si="24"/>
        <v/>
      </c>
      <c r="J571">
        <f t="shared" si="25"/>
        <v>59.75</v>
      </c>
      <c r="K571" s="4" t="str">
        <f t="shared" si="26"/>
        <v>F</v>
      </c>
      <c r="L571">
        <f>IF(Helper!$E$3="All",1,IF(C571=Helper!$E$3,1,0))</f>
        <v>1</v>
      </c>
    </row>
    <row r="572" spans="1:12" x14ac:dyDescent="0.3">
      <c r="A572" s="3" t="s">
        <v>861</v>
      </c>
      <c r="B572" s="3" t="s">
        <v>860</v>
      </c>
      <c r="C572" s="3" t="s">
        <v>17</v>
      </c>
      <c r="D572" s="7">
        <v>0.97</v>
      </c>
      <c r="E572" s="5">
        <v>94</v>
      </c>
      <c r="F572" s="5">
        <v>67</v>
      </c>
      <c r="G572" s="5">
        <v>88</v>
      </c>
      <c r="H572" s="5">
        <v>82</v>
      </c>
      <c r="I572" s="6" t="str">
        <f t="shared" si="24"/>
        <v/>
      </c>
      <c r="J572">
        <f t="shared" si="25"/>
        <v>86.05</v>
      </c>
      <c r="K572" s="4" t="str">
        <f t="shared" si="26"/>
        <v>B</v>
      </c>
      <c r="L572">
        <f>IF(Helper!$E$3="All",1,IF(C572=Helper!$E$3,1,0))</f>
        <v>1</v>
      </c>
    </row>
    <row r="573" spans="1:12" x14ac:dyDescent="0.3">
      <c r="A573" s="3" t="s">
        <v>859</v>
      </c>
      <c r="B573" s="3" t="s">
        <v>858</v>
      </c>
      <c r="C573" s="3" t="s">
        <v>0</v>
      </c>
      <c r="D573" s="7">
        <v>0.93</v>
      </c>
      <c r="E573" s="5">
        <v>89</v>
      </c>
      <c r="F573" s="5">
        <v>80</v>
      </c>
      <c r="G573" s="5">
        <v>45</v>
      </c>
      <c r="H573" s="5">
        <v>64</v>
      </c>
      <c r="I573" s="6">
        <f t="shared" si="24"/>
        <v>19</v>
      </c>
      <c r="J573">
        <f t="shared" si="25"/>
        <v>62.050000000000004</v>
      </c>
      <c r="K573" s="4" t="str">
        <f t="shared" si="26"/>
        <v>D</v>
      </c>
      <c r="L573">
        <f>IF(Helper!$E$3="All",1,IF(C573=Helper!$E$3,1,0))</f>
        <v>1</v>
      </c>
    </row>
    <row r="574" spans="1:12" x14ac:dyDescent="0.3">
      <c r="A574" s="3" t="s">
        <v>857</v>
      </c>
      <c r="B574" s="3" t="s">
        <v>856</v>
      </c>
      <c r="C574" s="3" t="s">
        <v>8</v>
      </c>
      <c r="D574" s="7">
        <v>0.76</v>
      </c>
      <c r="E574" s="5">
        <v>44</v>
      </c>
      <c r="F574" s="5">
        <v>75</v>
      </c>
      <c r="G574" s="5">
        <v>87</v>
      </c>
      <c r="H574" s="5">
        <v>78</v>
      </c>
      <c r="I574" s="6" t="str">
        <f t="shared" si="24"/>
        <v/>
      </c>
      <c r="J574">
        <f t="shared" si="25"/>
        <v>81.95</v>
      </c>
      <c r="K574" s="4" t="str">
        <f t="shared" si="26"/>
        <v>B</v>
      </c>
      <c r="L574">
        <f>IF(Helper!$E$3="All",1,IF(C574=Helper!$E$3,1,0))</f>
        <v>1</v>
      </c>
    </row>
    <row r="575" spans="1:12" x14ac:dyDescent="0.3">
      <c r="A575" s="3" t="s">
        <v>855</v>
      </c>
      <c r="B575" s="3" t="s">
        <v>854</v>
      </c>
      <c r="C575" s="3" t="s">
        <v>17</v>
      </c>
      <c r="D575" s="7">
        <v>0.96</v>
      </c>
      <c r="E575" s="5">
        <v>86</v>
      </c>
      <c r="F575" s="5">
        <v>76</v>
      </c>
      <c r="G575" s="5">
        <v>95</v>
      </c>
      <c r="H575" s="5">
        <v>88</v>
      </c>
      <c r="I575" s="6" t="str">
        <f t="shared" si="24"/>
        <v/>
      </c>
      <c r="J575">
        <f t="shared" si="25"/>
        <v>91.300000000000011</v>
      </c>
      <c r="K575" s="4" t="str">
        <f t="shared" si="26"/>
        <v>A</v>
      </c>
      <c r="L575">
        <f>IF(Helper!$E$3="All",1,IF(C575=Helper!$E$3,1,0))</f>
        <v>1</v>
      </c>
    </row>
    <row r="576" spans="1:12" x14ac:dyDescent="0.3">
      <c r="A576" s="3" t="s">
        <v>853</v>
      </c>
      <c r="B576" s="3" t="s">
        <v>852</v>
      </c>
      <c r="C576" s="3" t="s">
        <v>0</v>
      </c>
      <c r="D576" s="7">
        <v>0.84</v>
      </c>
      <c r="E576" s="5">
        <v>88</v>
      </c>
      <c r="F576" s="5">
        <v>60</v>
      </c>
      <c r="G576" s="5">
        <v>51</v>
      </c>
      <c r="H576" s="5">
        <v>99</v>
      </c>
      <c r="I576" s="6">
        <f t="shared" si="24"/>
        <v>48</v>
      </c>
      <c r="J576">
        <f t="shared" si="25"/>
        <v>77.400000000000006</v>
      </c>
      <c r="K576" s="4" t="str">
        <f t="shared" si="26"/>
        <v>C</v>
      </c>
      <c r="L576">
        <f>IF(Helper!$E$3="All",1,IF(C576=Helper!$E$3,1,0))</f>
        <v>1</v>
      </c>
    </row>
    <row r="577" spans="1:12" x14ac:dyDescent="0.3">
      <c r="A577" s="3" t="s">
        <v>851</v>
      </c>
      <c r="B577" s="3" t="s">
        <v>850</v>
      </c>
      <c r="C577" s="3" t="s">
        <v>17</v>
      </c>
      <c r="D577" s="7">
        <v>0.97</v>
      </c>
      <c r="E577" s="5">
        <v>74</v>
      </c>
      <c r="F577" s="5">
        <v>47</v>
      </c>
      <c r="G577" s="5">
        <v>90</v>
      </c>
      <c r="H577" s="5">
        <v>67</v>
      </c>
      <c r="I577" s="6" t="str">
        <f t="shared" si="24"/>
        <v/>
      </c>
      <c r="J577">
        <f t="shared" si="25"/>
        <v>78.849999999999994</v>
      </c>
      <c r="K577" s="4" t="str">
        <f t="shared" si="26"/>
        <v>C</v>
      </c>
      <c r="L577">
        <f>IF(Helper!$E$3="All",1,IF(C577=Helper!$E$3,1,0))</f>
        <v>1</v>
      </c>
    </row>
    <row r="578" spans="1:12" x14ac:dyDescent="0.3">
      <c r="A578" s="3" t="s">
        <v>849</v>
      </c>
      <c r="B578" s="3" t="s">
        <v>848</v>
      </c>
      <c r="C578" s="3" t="s">
        <v>8</v>
      </c>
      <c r="D578" s="7">
        <v>0.71</v>
      </c>
      <c r="E578" s="5">
        <v>83</v>
      </c>
      <c r="F578" s="5">
        <v>94</v>
      </c>
      <c r="G578" s="5">
        <v>76</v>
      </c>
      <c r="H578" s="5">
        <v>72</v>
      </c>
      <c r="I578" s="6" t="str">
        <f t="shared" ref="I578:I641" si="27">IF(H578&gt;G578*1.15,H578-G578,IF(H578&lt;G578*0.65,H578-G578,""))</f>
        <v/>
      </c>
      <c r="J578">
        <f t="shared" ref="J578:J641" si="28">IF(ISBLANK(D578),"",IF(D578&gt;0.7,10,0)+(E578/100*5)+(F578/100*5)+(G578/100*40)+(H578/100*40))</f>
        <v>78.05</v>
      </c>
      <c r="K578" s="4" t="str">
        <f t="shared" ref="K578:K641" si="29">IF(J578&gt;=90,"A",IF(J578&gt;=80,"B",IF(J578&gt;=70,"C",IF(J578&gt;=60,"D","F"))))</f>
        <v>C</v>
      </c>
      <c r="L578">
        <f>IF(Helper!$E$3="All",1,IF(C578=Helper!$E$3,1,0))</f>
        <v>1</v>
      </c>
    </row>
    <row r="579" spans="1:12" x14ac:dyDescent="0.3">
      <c r="A579" s="3" t="s">
        <v>847</v>
      </c>
      <c r="B579" s="3" t="s">
        <v>846</v>
      </c>
      <c r="C579" s="3" t="s">
        <v>17</v>
      </c>
      <c r="D579" s="7">
        <v>0.82000000000000006</v>
      </c>
      <c r="E579" s="5">
        <v>73</v>
      </c>
      <c r="F579" s="5">
        <v>48</v>
      </c>
      <c r="G579" s="5">
        <v>56</v>
      </c>
      <c r="H579" s="5">
        <v>93</v>
      </c>
      <c r="I579" s="6">
        <f t="shared" si="27"/>
        <v>37</v>
      </c>
      <c r="J579">
        <f t="shared" si="28"/>
        <v>75.650000000000006</v>
      </c>
      <c r="K579" s="4" t="str">
        <f t="shared" si="29"/>
        <v>C</v>
      </c>
      <c r="L579">
        <f>IF(Helper!$E$3="All",1,IF(C579=Helper!$E$3,1,0))</f>
        <v>1</v>
      </c>
    </row>
    <row r="580" spans="1:12" x14ac:dyDescent="0.3">
      <c r="A580" s="3" t="s">
        <v>845</v>
      </c>
      <c r="B580" s="3" t="s">
        <v>844</v>
      </c>
      <c r="C580" s="3" t="s">
        <v>17</v>
      </c>
      <c r="D580" s="7">
        <v>0.81</v>
      </c>
      <c r="E580" s="5">
        <v>72</v>
      </c>
      <c r="F580" s="5">
        <v>86</v>
      </c>
      <c r="G580" s="5">
        <v>97</v>
      </c>
      <c r="H580" s="5">
        <v>76</v>
      </c>
      <c r="I580" s="6" t="str">
        <f t="shared" si="27"/>
        <v/>
      </c>
      <c r="J580">
        <f t="shared" si="28"/>
        <v>87.1</v>
      </c>
      <c r="K580" s="4" t="str">
        <f t="shared" si="29"/>
        <v>B</v>
      </c>
      <c r="L580">
        <f>IF(Helper!$E$3="All",1,IF(C580=Helper!$E$3,1,0))</f>
        <v>1</v>
      </c>
    </row>
    <row r="581" spans="1:12" x14ac:dyDescent="0.3">
      <c r="A581" s="3" t="s">
        <v>843</v>
      </c>
      <c r="B581" s="3" t="s">
        <v>842</v>
      </c>
      <c r="C581" s="3" t="s">
        <v>17</v>
      </c>
      <c r="D581" s="7">
        <v>0.8</v>
      </c>
      <c r="E581" s="5">
        <v>94</v>
      </c>
      <c r="F581" s="5">
        <v>54</v>
      </c>
      <c r="G581" s="5">
        <v>62</v>
      </c>
      <c r="H581" s="5">
        <v>48</v>
      </c>
      <c r="I581" s="6" t="str">
        <f t="shared" si="27"/>
        <v/>
      </c>
      <c r="J581">
        <f t="shared" si="28"/>
        <v>61.400000000000006</v>
      </c>
      <c r="K581" s="4" t="str">
        <f t="shared" si="29"/>
        <v>D</v>
      </c>
      <c r="L581">
        <f>IF(Helper!$E$3="All",1,IF(C581=Helper!$E$3,1,0))</f>
        <v>1</v>
      </c>
    </row>
    <row r="582" spans="1:12" x14ac:dyDescent="0.3">
      <c r="A582" s="3" t="s">
        <v>841</v>
      </c>
      <c r="B582" s="3" t="s">
        <v>840</v>
      </c>
      <c r="C582" s="3" t="s">
        <v>17</v>
      </c>
      <c r="D582" s="7">
        <v>0.86</v>
      </c>
      <c r="E582" s="5">
        <v>60</v>
      </c>
      <c r="F582" s="5">
        <v>87</v>
      </c>
      <c r="G582" s="5">
        <v>65</v>
      </c>
      <c r="H582" s="5">
        <v>57</v>
      </c>
      <c r="I582" s="6" t="str">
        <f t="shared" si="27"/>
        <v/>
      </c>
      <c r="J582">
        <f t="shared" si="28"/>
        <v>66.150000000000006</v>
      </c>
      <c r="K582" s="4" t="str">
        <f t="shared" si="29"/>
        <v>D</v>
      </c>
      <c r="L582">
        <f>IF(Helper!$E$3="All",1,IF(C582=Helper!$E$3,1,0))</f>
        <v>1</v>
      </c>
    </row>
    <row r="583" spans="1:12" x14ac:dyDescent="0.3">
      <c r="A583" s="3" t="s">
        <v>839</v>
      </c>
      <c r="B583" s="3" t="s">
        <v>838</v>
      </c>
      <c r="C583" s="3" t="s">
        <v>8</v>
      </c>
      <c r="D583" s="7">
        <v>0.9</v>
      </c>
      <c r="E583" s="5">
        <v>56</v>
      </c>
      <c r="F583" s="5">
        <v>85</v>
      </c>
      <c r="G583" s="5">
        <v>68</v>
      </c>
      <c r="H583" s="5">
        <v>95</v>
      </c>
      <c r="I583" s="6">
        <f t="shared" si="27"/>
        <v>27</v>
      </c>
      <c r="J583">
        <f t="shared" si="28"/>
        <v>82.25</v>
      </c>
      <c r="K583" s="4" t="str">
        <f t="shared" si="29"/>
        <v>B</v>
      </c>
      <c r="L583">
        <f>IF(Helper!$E$3="All",1,IF(C583=Helper!$E$3,1,0))</f>
        <v>1</v>
      </c>
    </row>
    <row r="584" spans="1:12" x14ac:dyDescent="0.3">
      <c r="A584" s="3" t="s">
        <v>837</v>
      </c>
      <c r="B584" s="3" t="s">
        <v>836</v>
      </c>
      <c r="C584" s="3" t="s">
        <v>3</v>
      </c>
      <c r="D584" s="7">
        <v>0.65</v>
      </c>
      <c r="E584" s="5">
        <v>61</v>
      </c>
      <c r="F584" s="5">
        <v>79</v>
      </c>
      <c r="G584" s="5">
        <v>72</v>
      </c>
      <c r="H584" s="5">
        <v>98</v>
      </c>
      <c r="I584" s="6">
        <f t="shared" si="27"/>
        <v>26</v>
      </c>
      <c r="J584">
        <f t="shared" si="28"/>
        <v>75</v>
      </c>
      <c r="K584" s="4" t="str">
        <f t="shared" si="29"/>
        <v>C</v>
      </c>
      <c r="L584">
        <f>IF(Helper!$E$3="All",1,IF(C584=Helper!$E$3,1,0))</f>
        <v>1</v>
      </c>
    </row>
    <row r="585" spans="1:12" x14ac:dyDescent="0.3">
      <c r="A585" s="3" t="s">
        <v>835</v>
      </c>
      <c r="B585" s="3" t="s">
        <v>834</v>
      </c>
      <c r="C585" s="3" t="s">
        <v>17</v>
      </c>
      <c r="D585" s="7">
        <v>0.86</v>
      </c>
      <c r="E585" s="5">
        <v>87</v>
      </c>
      <c r="F585" s="5">
        <v>57</v>
      </c>
      <c r="G585" s="5">
        <v>99</v>
      </c>
      <c r="H585" s="5">
        <v>60</v>
      </c>
      <c r="I585" s="6">
        <f t="shared" si="27"/>
        <v>-39</v>
      </c>
      <c r="J585">
        <f t="shared" si="28"/>
        <v>80.8</v>
      </c>
      <c r="K585" s="4" t="str">
        <f t="shared" si="29"/>
        <v>B</v>
      </c>
      <c r="L585">
        <f>IF(Helper!$E$3="All",1,IF(C585=Helper!$E$3,1,0))</f>
        <v>1</v>
      </c>
    </row>
    <row r="586" spans="1:12" x14ac:dyDescent="0.3">
      <c r="A586" s="3" t="s">
        <v>833</v>
      </c>
      <c r="B586" s="3" t="s">
        <v>832</v>
      </c>
      <c r="C586" s="3" t="s">
        <v>17</v>
      </c>
      <c r="D586" s="7">
        <v>0.99</v>
      </c>
      <c r="E586" s="5">
        <v>76</v>
      </c>
      <c r="F586" s="5">
        <v>81</v>
      </c>
      <c r="G586" s="5">
        <v>66</v>
      </c>
      <c r="H586" s="5">
        <v>41</v>
      </c>
      <c r="I586" s="6">
        <f t="shared" si="27"/>
        <v>-25</v>
      </c>
      <c r="J586">
        <f t="shared" si="28"/>
        <v>60.65</v>
      </c>
      <c r="K586" s="4" t="str">
        <f t="shared" si="29"/>
        <v>D</v>
      </c>
      <c r="L586">
        <f>IF(Helper!$E$3="All",1,IF(C586=Helper!$E$3,1,0))</f>
        <v>1</v>
      </c>
    </row>
    <row r="587" spans="1:12" x14ac:dyDescent="0.3">
      <c r="A587" s="3" t="s">
        <v>831</v>
      </c>
      <c r="B587" s="3" t="s">
        <v>830</v>
      </c>
      <c r="C587" s="3" t="s">
        <v>0</v>
      </c>
      <c r="D587" s="7">
        <v>0.93</v>
      </c>
      <c r="E587" s="5">
        <v>54</v>
      </c>
      <c r="F587" s="5">
        <v>99</v>
      </c>
      <c r="G587" s="5">
        <v>64</v>
      </c>
      <c r="H587" s="5">
        <v>100</v>
      </c>
      <c r="I587" s="6">
        <f t="shared" si="27"/>
        <v>36</v>
      </c>
      <c r="J587">
        <f t="shared" si="28"/>
        <v>83.25</v>
      </c>
      <c r="K587" s="4" t="str">
        <f t="shared" si="29"/>
        <v>B</v>
      </c>
      <c r="L587">
        <f>IF(Helper!$E$3="All",1,IF(C587=Helper!$E$3,1,0))</f>
        <v>1</v>
      </c>
    </row>
    <row r="588" spans="1:12" x14ac:dyDescent="0.3">
      <c r="A588" s="3" t="s">
        <v>829</v>
      </c>
      <c r="B588" s="3" t="s">
        <v>828</v>
      </c>
      <c r="C588" s="3" t="s">
        <v>17</v>
      </c>
      <c r="D588" s="7">
        <v>0.71</v>
      </c>
      <c r="E588" s="5">
        <v>74</v>
      </c>
      <c r="F588" s="5">
        <v>59</v>
      </c>
      <c r="G588" s="5">
        <v>95</v>
      </c>
      <c r="H588" s="5">
        <v>97</v>
      </c>
      <c r="I588" s="6" t="str">
        <f t="shared" si="27"/>
        <v/>
      </c>
      <c r="J588">
        <f t="shared" si="28"/>
        <v>93.449999999999989</v>
      </c>
      <c r="K588" s="4" t="str">
        <f t="shared" si="29"/>
        <v>A</v>
      </c>
      <c r="L588">
        <f>IF(Helper!$E$3="All",1,IF(C588=Helper!$E$3,1,0))</f>
        <v>1</v>
      </c>
    </row>
    <row r="589" spans="1:12" x14ac:dyDescent="0.3">
      <c r="A589" s="3" t="s">
        <v>827</v>
      </c>
      <c r="B589" s="3" t="s">
        <v>826</v>
      </c>
      <c r="C589" s="3" t="s">
        <v>0</v>
      </c>
      <c r="D589" s="7">
        <v>0.66</v>
      </c>
      <c r="E589" s="5">
        <v>67</v>
      </c>
      <c r="F589" s="5">
        <v>45</v>
      </c>
      <c r="G589" s="5">
        <v>94</v>
      </c>
      <c r="H589" s="5">
        <v>82</v>
      </c>
      <c r="I589" s="6" t="str">
        <f t="shared" si="27"/>
        <v/>
      </c>
      <c r="J589">
        <f t="shared" si="28"/>
        <v>76</v>
      </c>
      <c r="K589" s="4" t="str">
        <f t="shared" si="29"/>
        <v>C</v>
      </c>
      <c r="L589">
        <f>IF(Helper!$E$3="All",1,IF(C589=Helper!$E$3,1,0))</f>
        <v>1</v>
      </c>
    </row>
    <row r="590" spans="1:12" x14ac:dyDescent="0.3">
      <c r="A590" s="3" t="s">
        <v>825</v>
      </c>
      <c r="B590" s="3" t="s">
        <v>824</v>
      </c>
      <c r="C590" s="3" t="s">
        <v>3</v>
      </c>
      <c r="D590" s="7">
        <v>0.69000000000000006</v>
      </c>
      <c r="E590" s="5">
        <v>46</v>
      </c>
      <c r="F590" s="5">
        <v>51</v>
      </c>
      <c r="G590" s="5">
        <v>49</v>
      </c>
      <c r="H590" s="5">
        <v>98</v>
      </c>
      <c r="I590" s="6">
        <f t="shared" si="27"/>
        <v>49</v>
      </c>
      <c r="J590">
        <f t="shared" si="28"/>
        <v>63.650000000000006</v>
      </c>
      <c r="K590" s="4" t="str">
        <f t="shared" si="29"/>
        <v>D</v>
      </c>
      <c r="L590">
        <f>IF(Helper!$E$3="All",1,IF(C590=Helper!$E$3,1,0))</f>
        <v>1</v>
      </c>
    </row>
    <row r="591" spans="1:12" x14ac:dyDescent="0.3">
      <c r="A591" s="3" t="s">
        <v>823</v>
      </c>
      <c r="B591" s="3" t="s">
        <v>822</v>
      </c>
      <c r="C591" s="3" t="s">
        <v>8</v>
      </c>
      <c r="D591" s="7">
        <v>0.76</v>
      </c>
      <c r="E591" s="5">
        <v>71</v>
      </c>
      <c r="F591" s="5">
        <v>41</v>
      </c>
      <c r="G591" s="5">
        <v>86</v>
      </c>
      <c r="H591" s="5">
        <v>99</v>
      </c>
      <c r="I591" s="6">
        <f t="shared" si="27"/>
        <v>13</v>
      </c>
      <c r="J591">
        <f t="shared" si="28"/>
        <v>89.6</v>
      </c>
      <c r="K591" s="4" t="str">
        <f t="shared" si="29"/>
        <v>B</v>
      </c>
      <c r="L591">
        <f>IF(Helper!$E$3="All",1,IF(C591=Helper!$E$3,1,0))</f>
        <v>1</v>
      </c>
    </row>
    <row r="592" spans="1:12" x14ac:dyDescent="0.3">
      <c r="A592" s="3" t="s">
        <v>821</v>
      </c>
      <c r="B592" s="3" t="s">
        <v>653</v>
      </c>
      <c r="C592" s="3" t="s">
        <v>8</v>
      </c>
      <c r="D592" s="7">
        <v>0.85</v>
      </c>
      <c r="E592" s="5">
        <v>50</v>
      </c>
      <c r="F592" s="5">
        <v>46</v>
      </c>
      <c r="G592" s="5">
        <v>62</v>
      </c>
      <c r="H592" s="5">
        <v>77</v>
      </c>
      <c r="I592" s="6">
        <f t="shared" si="27"/>
        <v>15</v>
      </c>
      <c r="J592">
        <f t="shared" si="28"/>
        <v>70.400000000000006</v>
      </c>
      <c r="K592" s="4" t="str">
        <f t="shared" si="29"/>
        <v>C</v>
      </c>
      <c r="L592">
        <f>IF(Helper!$E$3="All",1,IF(C592=Helper!$E$3,1,0))</f>
        <v>1</v>
      </c>
    </row>
    <row r="593" spans="1:12" x14ac:dyDescent="0.3">
      <c r="A593" s="3" t="s">
        <v>820</v>
      </c>
      <c r="B593" s="3" t="s">
        <v>819</v>
      </c>
      <c r="C593" s="3" t="s">
        <v>3</v>
      </c>
      <c r="D593" s="7">
        <v>0.8</v>
      </c>
      <c r="E593" s="5">
        <v>49</v>
      </c>
      <c r="F593" s="5">
        <v>55</v>
      </c>
      <c r="G593" s="5">
        <v>60</v>
      </c>
      <c r="H593" s="5">
        <v>97</v>
      </c>
      <c r="I593" s="6">
        <f t="shared" si="27"/>
        <v>37</v>
      </c>
      <c r="J593">
        <f t="shared" si="28"/>
        <v>78</v>
      </c>
      <c r="K593" s="4" t="str">
        <f t="shared" si="29"/>
        <v>C</v>
      </c>
      <c r="L593">
        <f>IF(Helper!$E$3="All",1,IF(C593=Helper!$E$3,1,0))</f>
        <v>1</v>
      </c>
    </row>
    <row r="594" spans="1:12" x14ac:dyDescent="0.3">
      <c r="A594" s="3" t="s">
        <v>818</v>
      </c>
      <c r="B594" s="3" t="s">
        <v>817</v>
      </c>
      <c r="C594" s="3" t="s">
        <v>8</v>
      </c>
      <c r="D594" s="7">
        <v>0.87</v>
      </c>
      <c r="E594" s="5">
        <v>48</v>
      </c>
      <c r="F594" s="5">
        <v>42</v>
      </c>
      <c r="G594" s="5">
        <v>60</v>
      </c>
      <c r="H594" s="5">
        <v>79</v>
      </c>
      <c r="I594" s="6">
        <f t="shared" si="27"/>
        <v>19</v>
      </c>
      <c r="J594">
        <f t="shared" si="28"/>
        <v>70.099999999999994</v>
      </c>
      <c r="K594" s="4" t="str">
        <f t="shared" si="29"/>
        <v>C</v>
      </c>
      <c r="L594">
        <f>IF(Helper!$E$3="All",1,IF(C594=Helper!$E$3,1,0))</f>
        <v>1</v>
      </c>
    </row>
    <row r="595" spans="1:12" x14ac:dyDescent="0.3">
      <c r="A595" s="3" t="s">
        <v>816</v>
      </c>
      <c r="B595" s="3" t="s">
        <v>815</v>
      </c>
      <c r="C595" s="3" t="s">
        <v>3</v>
      </c>
      <c r="D595" s="7">
        <v>0.61</v>
      </c>
      <c r="E595" s="5">
        <v>53</v>
      </c>
      <c r="F595" s="5">
        <v>84</v>
      </c>
      <c r="G595" s="5">
        <v>82</v>
      </c>
      <c r="H595" s="5">
        <v>75</v>
      </c>
      <c r="I595" s="6" t="str">
        <f t="shared" si="27"/>
        <v/>
      </c>
      <c r="J595">
        <f t="shared" si="28"/>
        <v>69.650000000000006</v>
      </c>
      <c r="K595" s="4" t="str">
        <f t="shared" si="29"/>
        <v>D</v>
      </c>
      <c r="L595">
        <f>IF(Helper!$E$3="All",1,IF(C595=Helper!$E$3,1,0))</f>
        <v>1</v>
      </c>
    </row>
    <row r="596" spans="1:12" x14ac:dyDescent="0.3">
      <c r="A596" s="3" t="s">
        <v>814</v>
      </c>
      <c r="B596" s="3" t="s">
        <v>813</v>
      </c>
      <c r="C596" s="3" t="s">
        <v>3</v>
      </c>
      <c r="D596" s="7">
        <v>0.6</v>
      </c>
      <c r="E596" s="5">
        <v>52</v>
      </c>
      <c r="F596" s="5">
        <v>42</v>
      </c>
      <c r="G596" s="5">
        <v>52</v>
      </c>
      <c r="H596" s="5">
        <v>89</v>
      </c>
      <c r="I596" s="6">
        <f t="shared" si="27"/>
        <v>37</v>
      </c>
      <c r="J596">
        <f t="shared" si="28"/>
        <v>61.1</v>
      </c>
      <c r="K596" s="4" t="str">
        <f t="shared" si="29"/>
        <v>D</v>
      </c>
      <c r="L596">
        <f>IF(Helper!$E$3="All",1,IF(C596=Helper!$E$3,1,0))</f>
        <v>1</v>
      </c>
    </row>
    <row r="597" spans="1:12" x14ac:dyDescent="0.3">
      <c r="A597" s="3" t="s">
        <v>812</v>
      </c>
      <c r="B597" s="3" t="s">
        <v>811</v>
      </c>
      <c r="C597" s="3" t="s">
        <v>3</v>
      </c>
      <c r="D597" s="7">
        <v>0.95000000000000007</v>
      </c>
      <c r="E597" s="5">
        <v>100</v>
      </c>
      <c r="F597" s="5">
        <v>66</v>
      </c>
      <c r="G597" s="5">
        <v>76</v>
      </c>
      <c r="H597" s="5">
        <v>99</v>
      </c>
      <c r="I597" s="6">
        <f t="shared" si="27"/>
        <v>23</v>
      </c>
      <c r="J597">
        <f t="shared" si="28"/>
        <v>88.300000000000011</v>
      </c>
      <c r="K597" s="4" t="str">
        <f t="shared" si="29"/>
        <v>B</v>
      </c>
      <c r="L597">
        <f>IF(Helper!$E$3="All",1,IF(C597=Helper!$E$3,1,0))</f>
        <v>1</v>
      </c>
    </row>
    <row r="598" spans="1:12" x14ac:dyDescent="0.3">
      <c r="A598" s="3" t="s">
        <v>810</v>
      </c>
      <c r="B598" s="3" t="s">
        <v>809</v>
      </c>
      <c r="C598" s="3" t="s">
        <v>8</v>
      </c>
      <c r="D598" s="7">
        <v>0.85</v>
      </c>
      <c r="E598" s="5">
        <v>96</v>
      </c>
      <c r="F598" s="5">
        <v>89</v>
      </c>
      <c r="G598" s="5">
        <v>72</v>
      </c>
      <c r="H598" s="5">
        <v>82</v>
      </c>
      <c r="I598" s="6" t="str">
        <f t="shared" si="27"/>
        <v/>
      </c>
      <c r="J598">
        <f t="shared" si="28"/>
        <v>80.849999999999994</v>
      </c>
      <c r="K598" s="4" t="str">
        <f t="shared" si="29"/>
        <v>B</v>
      </c>
      <c r="L598">
        <f>IF(Helper!$E$3="All",1,IF(C598=Helper!$E$3,1,0))</f>
        <v>1</v>
      </c>
    </row>
    <row r="599" spans="1:12" x14ac:dyDescent="0.3">
      <c r="A599" s="3" t="s">
        <v>808</v>
      </c>
      <c r="B599" s="3" t="s">
        <v>807</v>
      </c>
      <c r="C599" s="3" t="s">
        <v>0</v>
      </c>
      <c r="D599" s="7">
        <v>0.88</v>
      </c>
      <c r="E599" s="5">
        <v>64</v>
      </c>
      <c r="F599" s="5">
        <v>82</v>
      </c>
      <c r="G599" s="5">
        <v>63</v>
      </c>
      <c r="H599" s="5">
        <v>76</v>
      </c>
      <c r="I599" s="6">
        <f t="shared" si="27"/>
        <v>13</v>
      </c>
      <c r="J599">
        <f t="shared" si="28"/>
        <v>72.900000000000006</v>
      </c>
      <c r="K599" s="4" t="str">
        <f t="shared" si="29"/>
        <v>C</v>
      </c>
      <c r="L599">
        <f>IF(Helper!$E$3="All",1,IF(C599=Helper!$E$3,1,0))</f>
        <v>1</v>
      </c>
    </row>
    <row r="600" spans="1:12" x14ac:dyDescent="0.3">
      <c r="A600" s="3" t="s">
        <v>806</v>
      </c>
      <c r="B600" s="3" t="s">
        <v>805</v>
      </c>
      <c r="C600" s="3" t="s">
        <v>3</v>
      </c>
      <c r="D600" s="7">
        <v>0.8</v>
      </c>
      <c r="E600" s="5">
        <v>41</v>
      </c>
      <c r="F600" s="5">
        <v>79</v>
      </c>
      <c r="G600" s="5">
        <v>83</v>
      </c>
      <c r="H600" s="5">
        <v>54</v>
      </c>
      <c r="I600" s="6" t="str">
        <f t="shared" si="27"/>
        <v/>
      </c>
      <c r="J600">
        <f t="shared" si="28"/>
        <v>70.8</v>
      </c>
      <c r="K600" s="4" t="str">
        <f t="shared" si="29"/>
        <v>C</v>
      </c>
      <c r="L600">
        <f>IF(Helper!$E$3="All",1,IF(C600=Helper!$E$3,1,0))</f>
        <v>1</v>
      </c>
    </row>
    <row r="601" spans="1:12" x14ac:dyDescent="0.3">
      <c r="A601" s="3" t="s">
        <v>804</v>
      </c>
      <c r="B601" s="3" t="s">
        <v>803</v>
      </c>
      <c r="C601" s="3" t="s">
        <v>17</v>
      </c>
      <c r="D601" s="7">
        <v>0.70000000000000007</v>
      </c>
      <c r="E601" s="5">
        <v>74</v>
      </c>
      <c r="F601" s="5">
        <v>77</v>
      </c>
      <c r="G601" s="5">
        <v>50</v>
      </c>
      <c r="H601" s="5">
        <v>67</v>
      </c>
      <c r="I601" s="6">
        <f t="shared" si="27"/>
        <v>17</v>
      </c>
      <c r="J601">
        <f t="shared" si="28"/>
        <v>54.35</v>
      </c>
      <c r="K601" s="4" t="str">
        <f t="shared" si="29"/>
        <v>F</v>
      </c>
      <c r="L601">
        <f>IF(Helper!$E$3="All",1,IF(C601=Helper!$E$3,1,0))</f>
        <v>1</v>
      </c>
    </row>
    <row r="602" spans="1:12" x14ac:dyDescent="0.3">
      <c r="A602" s="3" t="s">
        <v>802</v>
      </c>
      <c r="B602" s="3" t="s">
        <v>801</v>
      </c>
      <c r="C602" s="3" t="s">
        <v>8</v>
      </c>
      <c r="D602" s="7">
        <v>0.99</v>
      </c>
      <c r="E602" s="5">
        <v>46</v>
      </c>
      <c r="F602" s="5">
        <v>72</v>
      </c>
      <c r="G602" s="5">
        <v>56</v>
      </c>
      <c r="H602" s="5">
        <v>57</v>
      </c>
      <c r="I602" s="6" t="str">
        <f t="shared" si="27"/>
        <v/>
      </c>
      <c r="J602">
        <f t="shared" si="28"/>
        <v>61.1</v>
      </c>
      <c r="K602" s="4" t="str">
        <f t="shared" si="29"/>
        <v>D</v>
      </c>
      <c r="L602">
        <f>IF(Helper!$E$3="All",1,IF(C602=Helper!$E$3,1,0))</f>
        <v>1</v>
      </c>
    </row>
    <row r="603" spans="1:12" x14ac:dyDescent="0.3">
      <c r="A603" s="3" t="s">
        <v>800</v>
      </c>
      <c r="B603" s="3" t="s">
        <v>799</v>
      </c>
      <c r="C603" s="3" t="s">
        <v>3</v>
      </c>
      <c r="D603" s="7">
        <v>0.70000000000000007</v>
      </c>
      <c r="E603" s="5">
        <v>60</v>
      </c>
      <c r="F603" s="5">
        <v>67</v>
      </c>
      <c r="G603" s="5">
        <v>43</v>
      </c>
      <c r="H603" s="5">
        <v>73</v>
      </c>
      <c r="I603" s="6">
        <f t="shared" si="27"/>
        <v>30</v>
      </c>
      <c r="J603">
        <f t="shared" si="28"/>
        <v>52.75</v>
      </c>
      <c r="K603" s="4" t="str">
        <f t="shared" si="29"/>
        <v>F</v>
      </c>
      <c r="L603">
        <f>IF(Helper!$E$3="All",1,IF(C603=Helper!$E$3,1,0))</f>
        <v>1</v>
      </c>
    </row>
    <row r="604" spans="1:12" x14ac:dyDescent="0.3">
      <c r="A604" s="3" t="s">
        <v>798</v>
      </c>
      <c r="B604" s="3" t="s">
        <v>797</v>
      </c>
      <c r="C604" s="3" t="s">
        <v>3</v>
      </c>
      <c r="D604" s="7">
        <v>0.95000000000000007</v>
      </c>
      <c r="E604" s="5">
        <v>57</v>
      </c>
      <c r="F604" s="5">
        <v>40</v>
      </c>
      <c r="G604" s="5">
        <v>86</v>
      </c>
      <c r="H604" s="5">
        <v>61</v>
      </c>
      <c r="I604" s="6" t="str">
        <f t="shared" si="27"/>
        <v/>
      </c>
      <c r="J604">
        <f t="shared" si="28"/>
        <v>73.650000000000006</v>
      </c>
      <c r="K604" s="4" t="str">
        <f t="shared" si="29"/>
        <v>C</v>
      </c>
      <c r="L604">
        <f>IF(Helper!$E$3="All",1,IF(C604=Helper!$E$3,1,0))</f>
        <v>1</v>
      </c>
    </row>
    <row r="605" spans="1:12" x14ac:dyDescent="0.3">
      <c r="A605" s="3" t="s">
        <v>796</v>
      </c>
      <c r="B605" s="3" t="s">
        <v>795</v>
      </c>
      <c r="C605" s="3" t="s">
        <v>17</v>
      </c>
      <c r="D605" s="7">
        <v>0.98</v>
      </c>
      <c r="E605" s="5">
        <v>42</v>
      </c>
      <c r="F605" s="5">
        <v>94</v>
      </c>
      <c r="G605" s="5">
        <v>64</v>
      </c>
      <c r="H605" s="5">
        <v>50</v>
      </c>
      <c r="I605" s="6" t="str">
        <f t="shared" si="27"/>
        <v/>
      </c>
      <c r="J605">
        <f t="shared" si="28"/>
        <v>62.4</v>
      </c>
      <c r="K605" s="4" t="str">
        <f t="shared" si="29"/>
        <v>D</v>
      </c>
      <c r="L605">
        <f>IF(Helper!$E$3="All",1,IF(C605=Helper!$E$3,1,0))</f>
        <v>1</v>
      </c>
    </row>
    <row r="606" spans="1:12" x14ac:dyDescent="0.3">
      <c r="A606" s="3" t="s">
        <v>794</v>
      </c>
      <c r="B606" s="3" t="s">
        <v>793</v>
      </c>
      <c r="C606" s="3" t="s">
        <v>0</v>
      </c>
      <c r="D606" s="7">
        <v>0.99</v>
      </c>
      <c r="E606" s="5">
        <v>81</v>
      </c>
      <c r="F606" s="5">
        <v>47</v>
      </c>
      <c r="G606" s="5">
        <v>69</v>
      </c>
      <c r="H606" s="5">
        <v>97</v>
      </c>
      <c r="I606" s="6">
        <f t="shared" si="27"/>
        <v>28</v>
      </c>
      <c r="J606">
        <f t="shared" si="28"/>
        <v>82.8</v>
      </c>
      <c r="K606" s="4" t="str">
        <f t="shared" si="29"/>
        <v>B</v>
      </c>
      <c r="L606">
        <f>IF(Helper!$E$3="All",1,IF(C606=Helper!$E$3,1,0))</f>
        <v>1</v>
      </c>
    </row>
    <row r="607" spans="1:12" x14ac:dyDescent="0.3">
      <c r="A607" s="3" t="s">
        <v>792</v>
      </c>
      <c r="B607" s="3" t="s">
        <v>791</v>
      </c>
      <c r="C607" s="3" t="s">
        <v>0</v>
      </c>
      <c r="D607" s="7">
        <v>0.94000000000000006</v>
      </c>
      <c r="E607" s="5">
        <v>93</v>
      </c>
      <c r="F607" s="5">
        <v>76</v>
      </c>
      <c r="G607" s="5">
        <v>48</v>
      </c>
      <c r="H607" s="5">
        <v>96</v>
      </c>
      <c r="I607" s="6">
        <f t="shared" si="27"/>
        <v>48</v>
      </c>
      <c r="J607">
        <f t="shared" si="28"/>
        <v>76.05</v>
      </c>
      <c r="K607" s="4" t="str">
        <f t="shared" si="29"/>
        <v>C</v>
      </c>
      <c r="L607">
        <f>IF(Helper!$E$3="All",1,IF(C607=Helper!$E$3,1,0))</f>
        <v>1</v>
      </c>
    </row>
    <row r="608" spans="1:12" x14ac:dyDescent="0.3">
      <c r="A608" s="3" t="s">
        <v>790</v>
      </c>
      <c r="B608" s="3" t="s">
        <v>789</v>
      </c>
      <c r="C608" s="3" t="s">
        <v>0</v>
      </c>
      <c r="D608" s="7">
        <v>0.93</v>
      </c>
      <c r="E608" s="5">
        <v>100</v>
      </c>
      <c r="F608" s="5">
        <v>71</v>
      </c>
      <c r="G608" s="5">
        <v>60</v>
      </c>
      <c r="H608" s="5">
        <v>52</v>
      </c>
      <c r="I608" s="6" t="str">
        <f t="shared" si="27"/>
        <v/>
      </c>
      <c r="J608">
        <f t="shared" si="28"/>
        <v>63.349999999999994</v>
      </c>
      <c r="K608" s="4" t="str">
        <f t="shared" si="29"/>
        <v>D</v>
      </c>
      <c r="L608">
        <f>IF(Helper!$E$3="All",1,IF(C608=Helper!$E$3,1,0))</f>
        <v>1</v>
      </c>
    </row>
    <row r="609" spans="1:12" x14ac:dyDescent="0.3">
      <c r="A609" s="3" t="s">
        <v>788</v>
      </c>
      <c r="B609" s="3" t="s">
        <v>787</v>
      </c>
      <c r="C609" s="3" t="s">
        <v>3</v>
      </c>
      <c r="D609" s="7">
        <v>0.83000000000000007</v>
      </c>
      <c r="E609" s="5">
        <v>78</v>
      </c>
      <c r="F609" s="5">
        <v>99</v>
      </c>
      <c r="G609" s="5">
        <v>59</v>
      </c>
      <c r="H609" s="5">
        <v>43</v>
      </c>
      <c r="I609" s="6" t="str">
        <f t="shared" si="27"/>
        <v/>
      </c>
      <c r="J609">
        <f t="shared" si="28"/>
        <v>59.650000000000006</v>
      </c>
      <c r="K609" s="4" t="str">
        <f t="shared" si="29"/>
        <v>F</v>
      </c>
      <c r="L609">
        <f>IF(Helper!$E$3="All",1,IF(C609=Helper!$E$3,1,0))</f>
        <v>1</v>
      </c>
    </row>
    <row r="610" spans="1:12" x14ac:dyDescent="0.3">
      <c r="A610" s="3" t="s">
        <v>786</v>
      </c>
      <c r="B610" s="3" t="s">
        <v>785</v>
      </c>
      <c r="C610" s="3" t="s">
        <v>3</v>
      </c>
      <c r="D610" s="7">
        <v>0.81</v>
      </c>
      <c r="E610" s="5">
        <v>80</v>
      </c>
      <c r="F610" s="5">
        <v>87</v>
      </c>
      <c r="G610" s="5">
        <v>58</v>
      </c>
      <c r="H610" s="5">
        <v>61</v>
      </c>
      <c r="I610" s="6" t="str">
        <f t="shared" si="27"/>
        <v/>
      </c>
      <c r="J610">
        <f t="shared" si="28"/>
        <v>65.949999999999989</v>
      </c>
      <c r="K610" s="4" t="str">
        <f t="shared" si="29"/>
        <v>D</v>
      </c>
      <c r="L610">
        <f>IF(Helper!$E$3="All",1,IF(C610=Helper!$E$3,1,0))</f>
        <v>1</v>
      </c>
    </row>
    <row r="611" spans="1:12" x14ac:dyDescent="0.3">
      <c r="A611" s="3" t="s">
        <v>784</v>
      </c>
      <c r="B611" s="3" t="s">
        <v>783</v>
      </c>
      <c r="C611" s="3" t="s">
        <v>3</v>
      </c>
      <c r="D611" s="7">
        <v>0.64</v>
      </c>
      <c r="E611" s="5">
        <v>88</v>
      </c>
      <c r="F611" s="5">
        <v>82</v>
      </c>
      <c r="G611" s="5">
        <v>58</v>
      </c>
      <c r="H611" s="5">
        <v>46</v>
      </c>
      <c r="I611" s="6" t="str">
        <f t="shared" si="27"/>
        <v/>
      </c>
      <c r="J611">
        <f t="shared" si="28"/>
        <v>50.1</v>
      </c>
      <c r="K611" s="4" t="str">
        <f t="shared" si="29"/>
        <v>F</v>
      </c>
      <c r="L611">
        <f>IF(Helper!$E$3="All",1,IF(C611=Helper!$E$3,1,0))</f>
        <v>1</v>
      </c>
    </row>
    <row r="612" spans="1:12" x14ac:dyDescent="0.3">
      <c r="A612" s="3" t="s">
        <v>782</v>
      </c>
      <c r="B612" s="3" t="s">
        <v>781</v>
      </c>
      <c r="C612" s="3" t="s">
        <v>8</v>
      </c>
      <c r="D612" s="7">
        <v>0.92</v>
      </c>
      <c r="E612" s="5">
        <v>50</v>
      </c>
      <c r="F612" s="5">
        <v>76</v>
      </c>
      <c r="G612" s="5">
        <v>51</v>
      </c>
      <c r="H612" s="5">
        <v>100</v>
      </c>
      <c r="I612" s="6">
        <f t="shared" si="27"/>
        <v>49</v>
      </c>
      <c r="J612">
        <f t="shared" si="28"/>
        <v>76.7</v>
      </c>
      <c r="K612" s="4" t="str">
        <f t="shared" si="29"/>
        <v>C</v>
      </c>
      <c r="L612">
        <f>IF(Helper!$E$3="All",1,IF(C612=Helper!$E$3,1,0))</f>
        <v>1</v>
      </c>
    </row>
    <row r="613" spans="1:12" x14ac:dyDescent="0.3">
      <c r="A613" s="3" t="s">
        <v>780</v>
      </c>
      <c r="B613" s="3" t="s">
        <v>779</v>
      </c>
      <c r="C613" s="3" t="s">
        <v>17</v>
      </c>
      <c r="D613" s="7">
        <v>0.95000000000000007</v>
      </c>
      <c r="E613" s="5">
        <v>78</v>
      </c>
      <c r="F613" s="5">
        <v>43</v>
      </c>
      <c r="G613" s="5">
        <v>76</v>
      </c>
      <c r="H613" s="5">
        <v>82</v>
      </c>
      <c r="I613" s="6" t="str">
        <f t="shared" si="27"/>
        <v/>
      </c>
      <c r="J613">
        <f t="shared" si="28"/>
        <v>79.25</v>
      </c>
      <c r="K613" s="4" t="str">
        <f t="shared" si="29"/>
        <v>C</v>
      </c>
      <c r="L613">
        <f>IF(Helper!$E$3="All",1,IF(C613=Helper!$E$3,1,0))</f>
        <v>1</v>
      </c>
    </row>
    <row r="614" spans="1:12" x14ac:dyDescent="0.3">
      <c r="A614" s="3" t="s">
        <v>778</v>
      </c>
      <c r="B614" s="3" t="s">
        <v>777</v>
      </c>
      <c r="C614" s="3" t="s">
        <v>3</v>
      </c>
      <c r="D614" s="7">
        <v>0.79</v>
      </c>
      <c r="E614" s="5">
        <v>63</v>
      </c>
      <c r="F614" s="5">
        <v>69</v>
      </c>
      <c r="G614" s="5">
        <v>81</v>
      </c>
      <c r="H614" s="5">
        <v>93</v>
      </c>
      <c r="I614" s="6" t="str">
        <f t="shared" si="27"/>
        <v/>
      </c>
      <c r="J614">
        <f t="shared" si="28"/>
        <v>86.200000000000017</v>
      </c>
      <c r="K614" s="4" t="str">
        <f t="shared" si="29"/>
        <v>B</v>
      </c>
      <c r="L614">
        <f>IF(Helper!$E$3="All",1,IF(C614=Helper!$E$3,1,0))</f>
        <v>1</v>
      </c>
    </row>
    <row r="615" spans="1:12" x14ac:dyDescent="0.3">
      <c r="A615" s="3" t="s">
        <v>776</v>
      </c>
      <c r="B615" s="3" t="s">
        <v>775</v>
      </c>
      <c r="C615" s="3" t="s">
        <v>17</v>
      </c>
      <c r="D615" s="7">
        <v>0.78</v>
      </c>
      <c r="E615" s="5">
        <v>99</v>
      </c>
      <c r="F615" s="5">
        <v>45</v>
      </c>
      <c r="G615" s="5">
        <v>56</v>
      </c>
      <c r="H615" s="5">
        <v>63</v>
      </c>
      <c r="I615" s="6" t="str">
        <f t="shared" si="27"/>
        <v/>
      </c>
      <c r="J615">
        <f t="shared" si="28"/>
        <v>64.8</v>
      </c>
      <c r="K615" s="4" t="str">
        <f t="shared" si="29"/>
        <v>D</v>
      </c>
      <c r="L615">
        <f>IF(Helper!$E$3="All",1,IF(C615=Helper!$E$3,1,0))</f>
        <v>1</v>
      </c>
    </row>
    <row r="616" spans="1:12" x14ac:dyDescent="0.3">
      <c r="A616" s="3" t="s">
        <v>774</v>
      </c>
      <c r="B616" s="3" t="s">
        <v>773</v>
      </c>
      <c r="C616" s="3" t="s">
        <v>17</v>
      </c>
      <c r="D616" s="7">
        <v>0.94000000000000006</v>
      </c>
      <c r="E616" s="5">
        <v>85</v>
      </c>
      <c r="F616" s="5">
        <v>85</v>
      </c>
      <c r="G616" s="5">
        <v>76</v>
      </c>
      <c r="H616" s="5">
        <v>43</v>
      </c>
      <c r="I616" s="6">
        <f t="shared" si="27"/>
        <v>-33</v>
      </c>
      <c r="J616">
        <f t="shared" si="28"/>
        <v>66.099999999999994</v>
      </c>
      <c r="K616" s="4" t="str">
        <f t="shared" si="29"/>
        <v>D</v>
      </c>
      <c r="L616">
        <f>IF(Helper!$E$3="All",1,IF(C616=Helper!$E$3,1,0))</f>
        <v>1</v>
      </c>
    </row>
    <row r="617" spans="1:12" x14ac:dyDescent="0.3">
      <c r="A617" s="3" t="s">
        <v>772</v>
      </c>
      <c r="B617" s="3" t="s">
        <v>771</v>
      </c>
      <c r="C617" s="3" t="s">
        <v>0</v>
      </c>
      <c r="D617" s="7">
        <v>0.76</v>
      </c>
      <c r="E617" s="5">
        <v>58</v>
      </c>
      <c r="F617" s="5">
        <v>93</v>
      </c>
      <c r="G617" s="5">
        <v>93</v>
      </c>
      <c r="H617" s="5">
        <v>67</v>
      </c>
      <c r="I617" s="6" t="str">
        <f t="shared" si="27"/>
        <v/>
      </c>
      <c r="J617">
        <f t="shared" si="28"/>
        <v>81.55</v>
      </c>
      <c r="K617" s="4" t="str">
        <f t="shared" si="29"/>
        <v>B</v>
      </c>
      <c r="L617">
        <f>IF(Helper!$E$3="All",1,IF(C617=Helper!$E$3,1,0))</f>
        <v>1</v>
      </c>
    </row>
    <row r="618" spans="1:12" x14ac:dyDescent="0.3">
      <c r="A618" s="3" t="s">
        <v>770</v>
      </c>
      <c r="B618" s="3" t="s">
        <v>769</v>
      </c>
      <c r="C618" s="3" t="s">
        <v>8</v>
      </c>
      <c r="D618" s="7">
        <v>0.93</v>
      </c>
      <c r="E618" s="5">
        <v>43</v>
      </c>
      <c r="F618" s="5">
        <v>58</v>
      </c>
      <c r="G618" s="5">
        <v>87</v>
      </c>
      <c r="H618" s="5">
        <v>54</v>
      </c>
      <c r="I618" s="6">
        <f t="shared" si="27"/>
        <v>-33</v>
      </c>
      <c r="J618">
        <f t="shared" si="28"/>
        <v>71.449999999999989</v>
      </c>
      <c r="K618" s="4" t="str">
        <f t="shared" si="29"/>
        <v>C</v>
      </c>
      <c r="L618">
        <f>IF(Helper!$E$3="All",1,IF(C618=Helper!$E$3,1,0))</f>
        <v>1</v>
      </c>
    </row>
    <row r="619" spans="1:12" x14ac:dyDescent="0.3">
      <c r="A619" s="3" t="s">
        <v>768</v>
      </c>
      <c r="B619" s="3" t="s">
        <v>767</v>
      </c>
      <c r="C619" s="3" t="s">
        <v>3</v>
      </c>
      <c r="D619" s="7">
        <v>0.68</v>
      </c>
      <c r="E619" s="5">
        <v>65</v>
      </c>
      <c r="F619" s="5">
        <v>71</v>
      </c>
      <c r="G619" s="5">
        <v>78</v>
      </c>
      <c r="H619" s="5">
        <v>40</v>
      </c>
      <c r="I619" s="6">
        <f t="shared" si="27"/>
        <v>-38</v>
      </c>
      <c r="J619">
        <f t="shared" si="28"/>
        <v>54</v>
      </c>
      <c r="K619" s="4" t="str">
        <f t="shared" si="29"/>
        <v>F</v>
      </c>
      <c r="L619">
        <f>IF(Helper!$E$3="All",1,IF(C619=Helper!$E$3,1,0))</f>
        <v>1</v>
      </c>
    </row>
    <row r="620" spans="1:12" x14ac:dyDescent="0.3">
      <c r="A620" s="3" t="s">
        <v>766</v>
      </c>
      <c r="B620" s="3" t="s">
        <v>765</v>
      </c>
      <c r="C620" s="3" t="s">
        <v>0</v>
      </c>
      <c r="D620" s="7">
        <v>0.85</v>
      </c>
      <c r="E620" s="5">
        <v>77</v>
      </c>
      <c r="F620" s="5">
        <v>48</v>
      </c>
      <c r="G620" s="5">
        <v>67</v>
      </c>
      <c r="H620" s="5">
        <v>94</v>
      </c>
      <c r="I620" s="6">
        <f t="shared" si="27"/>
        <v>27</v>
      </c>
      <c r="J620">
        <f t="shared" si="28"/>
        <v>80.649999999999991</v>
      </c>
      <c r="K620" s="4" t="str">
        <f t="shared" si="29"/>
        <v>B</v>
      </c>
      <c r="L620">
        <f>IF(Helper!$E$3="All",1,IF(C620=Helper!$E$3,1,0))</f>
        <v>1</v>
      </c>
    </row>
    <row r="621" spans="1:12" x14ac:dyDescent="0.3">
      <c r="A621" s="3" t="s">
        <v>764</v>
      </c>
      <c r="B621" s="3" t="s">
        <v>763</v>
      </c>
      <c r="C621" s="3" t="s">
        <v>0</v>
      </c>
      <c r="D621" s="7">
        <v>0.61</v>
      </c>
      <c r="E621" s="5">
        <v>81</v>
      </c>
      <c r="F621" s="5">
        <v>51</v>
      </c>
      <c r="G621" s="5">
        <v>80</v>
      </c>
      <c r="H621" s="5">
        <v>42</v>
      </c>
      <c r="I621" s="6">
        <f t="shared" si="27"/>
        <v>-38</v>
      </c>
      <c r="J621">
        <f t="shared" si="28"/>
        <v>55.400000000000006</v>
      </c>
      <c r="K621" s="4" t="str">
        <f t="shared" si="29"/>
        <v>F</v>
      </c>
      <c r="L621">
        <f>IF(Helper!$E$3="All",1,IF(C621=Helper!$E$3,1,0))</f>
        <v>1</v>
      </c>
    </row>
    <row r="622" spans="1:12" x14ac:dyDescent="0.3">
      <c r="A622" s="3" t="s">
        <v>762</v>
      </c>
      <c r="B622" s="3" t="s">
        <v>761</v>
      </c>
      <c r="C622" s="3" t="s">
        <v>3</v>
      </c>
      <c r="D622" s="7">
        <v>0.68</v>
      </c>
      <c r="E622" s="5">
        <v>71</v>
      </c>
      <c r="F622" s="5">
        <v>50</v>
      </c>
      <c r="G622" s="5">
        <v>74</v>
      </c>
      <c r="H622" s="5">
        <v>53</v>
      </c>
      <c r="I622" s="6" t="str">
        <f t="shared" si="27"/>
        <v/>
      </c>
      <c r="J622">
        <f t="shared" si="28"/>
        <v>56.85</v>
      </c>
      <c r="K622" s="4" t="str">
        <f t="shared" si="29"/>
        <v>F</v>
      </c>
      <c r="L622">
        <f>IF(Helper!$E$3="All",1,IF(C622=Helper!$E$3,1,0))</f>
        <v>1</v>
      </c>
    </row>
    <row r="623" spans="1:12" x14ac:dyDescent="0.3">
      <c r="A623" s="3" t="s">
        <v>760</v>
      </c>
      <c r="B623" s="3" t="s">
        <v>759</v>
      </c>
      <c r="C623" s="3" t="s">
        <v>17</v>
      </c>
      <c r="D623" s="7">
        <v>0.68</v>
      </c>
      <c r="E623" s="5">
        <v>78</v>
      </c>
      <c r="F623" s="5">
        <v>85</v>
      </c>
      <c r="G623" s="5">
        <v>86</v>
      </c>
      <c r="H623" s="5">
        <v>77</v>
      </c>
      <c r="I623" s="6" t="str">
        <f t="shared" si="27"/>
        <v/>
      </c>
      <c r="J623">
        <f t="shared" si="28"/>
        <v>73.349999999999994</v>
      </c>
      <c r="K623" s="4" t="str">
        <f t="shared" si="29"/>
        <v>C</v>
      </c>
      <c r="L623">
        <f>IF(Helper!$E$3="All",1,IF(C623=Helper!$E$3,1,0))</f>
        <v>1</v>
      </c>
    </row>
    <row r="624" spans="1:12" x14ac:dyDescent="0.3">
      <c r="A624" s="3" t="s">
        <v>758</v>
      </c>
      <c r="B624" s="3" t="s">
        <v>757</v>
      </c>
      <c r="C624" s="3" t="s">
        <v>0</v>
      </c>
      <c r="D624" s="7">
        <v>0.99</v>
      </c>
      <c r="E624" s="5">
        <v>84</v>
      </c>
      <c r="F624" s="5">
        <v>94</v>
      </c>
      <c r="G624" s="5">
        <v>87</v>
      </c>
      <c r="H624" s="5">
        <v>89</v>
      </c>
      <c r="I624" s="6" t="str">
        <f t="shared" si="27"/>
        <v/>
      </c>
      <c r="J624">
        <f t="shared" si="28"/>
        <v>89.3</v>
      </c>
      <c r="K624" s="4" t="str">
        <f t="shared" si="29"/>
        <v>B</v>
      </c>
      <c r="L624">
        <f>IF(Helper!$E$3="All",1,IF(C624=Helper!$E$3,1,0))</f>
        <v>1</v>
      </c>
    </row>
    <row r="625" spans="1:12" x14ac:dyDescent="0.3">
      <c r="A625" s="3" t="s">
        <v>756</v>
      </c>
      <c r="B625" s="3" t="s">
        <v>755</v>
      </c>
      <c r="C625" s="3" t="s">
        <v>17</v>
      </c>
      <c r="D625" s="7">
        <v>0.76</v>
      </c>
      <c r="E625" s="5">
        <v>85</v>
      </c>
      <c r="F625" s="5">
        <v>55</v>
      </c>
      <c r="G625" s="5">
        <v>57</v>
      </c>
      <c r="H625" s="5">
        <v>96</v>
      </c>
      <c r="I625" s="6">
        <f t="shared" si="27"/>
        <v>39</v>
      </c>
      <c r="J625">
        <f t="shared" si="28"/>
        <v>78.199999999999989</v>
      </c>
      <c r="K625" s="4" t="str">
        <f t="shared" si="29"/>
        <v>C</v>
      </c>
      <c r="L625">
        <f>IF(Helper!$E$3="All",1,IF(C625=Helper!$E$3,1,0))</f>
        <v>1</v>
      </c>
    </row>
    <row r="626" spans="1:12" x14ac:dyDescent="0.3">
      <c r="A626" s="3" t="s">
        <v>754</v>
      </c>
      <c r="B626" s="3" t="s">
        <v>753</v>
      </c>
      <c r="C626" s="3" t="s">
        <v>8</v>
      </c>
      <c r="D626" s="7">
        <v>0.6</v>
      </c>
      <c r="E626" s="5">
        <v>75</v>
      </c>
      <c r="F626" s="5">
        <v>40</v>
      </c>
      <c r="G626" s="5">
        <v>53</v>
      </c>
      <c r="H626" s="5">
        <v>40</v>
      </c>
      <c r="I626" s="6" t="str">
        <f t="shared" si="27"/>
        <v/>
      </c>
      <c r="J626">
        <f t="shared" si="28"/>
        <v>42.95</v>
      </c>
      <c r="K626" s="4" t="str">
        <f t="shared" si="29"/>
        <v>F</v>
      </c>
      <c r="L626">
        <f>IF(Helper!$E$3="All",1,IF(C626=Helper!$E$3,1,0))</f>
        <v>1</v>
      </c>
    </row>
    <row r="627" spans="1:12" x14ac:dyDescent="0.3">
      <c r="A627" s="3" t="s">
        <v>752</v>
      </c>
      <c r="B627" s="3" t="s">
        <v>751</v>
      </c>
      <c r="C627" s="3" t="s">
        <v>17</v>
      </c>
      <c r="D627" s="7">
        <v>0.84</v>
      </c>
      <c r="E627" s="5">
        <v>79</v>
      </c>
      <c r="F627" s="5">
        <v>84</v>
      </c>
      <c r="G627" s="5">
        <v>74</v>
      </c>
      <c r="H627" s="5">
        <v>77</v>
      </c>
      <c r="I627" s="6" t="str">
        <f t="shared" si="27"/>
        <v/>
      </c>
      <c r="J627">
        <f t="shared" si="28"/>
        <v>78.55</v>
      </c>
      <c r="K627" s="4" t="str">
        <f t="shared" si="29"/>
        <v>C</v>
      </c>
      <c r="L627">
        <f>IF(Helper!$E$3="All",1,IF(C627=Helper!$E$3,1,0))</f>
        <v>1</v>
      </c>
    </row>
    <row r="628" spans="1:12" x14ac:dyDescent="0.3">
      <c r="A628" s="3" t="s">
        <v>750</v>
      </c>
      <c r="B628" s="3" t="s">
        <v>749</v>
      </c>
      <c r="C628" s="3" t="s">
        <v>8</v>
      </c>
      <c r="D628" s="7">
        <v>0.99</v>
      </c>
      <c r="E628" s="5">
        <v>76</v>
      </c>
      <c r="F628" s="5">
        <v>94</v>
      </c>
      <c r="G628" s="5">
        <v>83</v>
      </c>
      <c r="H628" s="5">
        <v>77</v>
      </c>
      <c r="I628" s="6" t="str">
        <f t="shared" si="27"/>
        <v/>
      </c>
      <c r="J628">
        <f t="shared" si="28"/>
        <v>82.5</v>
      </c>
      <c r="K628" s="4" t="str">
        <f t="shared" si="29"/>
        <v>B</v>
      </c>
      <c r="L628">
        <f>IF(Helper!$E$3="All",1,IF(C628=Helper!$E$3,1,0))</f>
        <v>1</v>
      </c>
    </row>
    <row r="629" spans="1:12" x14ac:dyDescent="0.3">
      <c r="A629" s="3" t="s">
        <v>748</v>
      </c>
      <c r="B629" s="3" t="s">
        <v>747</v>
      </c>
      <c r="C629" s="3" t="s">
        <v>17</v>
      </c>
      <c r="D629" s="7">
        <v>0.84</v>
      </c>
      <c r="E629" s="5">
        <v>72</v>
      </c>
      <c r="F629" s="5">
        <v>92</v>
      </c>
      <c r="G629" s="5">
        <v>80</v>
      </c>
      <c r="H629" s="5">
        <v>60</v>
      </c>
      <c r="I629" s="6" t="str">
        <f t="shared" si="27"/>
        <v/>
      </c>
      <c r="J629">
        <f t="shared" si="28"/>
        <v>74.2</v>
      </c>
      <c r="K629" s="4" t="str">
        <f t="shared" si="29"/>
        <v>C</v>
      </c>
      <c r="L629">
        <f>IF(Helper!$E$3="All",1,IF(C629=Helper!$E$3,1,0))</f>
        <v>1</v>
      </c>
    </row>
    <row r="630" spans="1:12" x14ac:dyDescent="0.3">
      <c r="A630" s="3" t="s">
        <v>746</v>
      </c>
      <c r="B630" s="3" t="s">
        <v>745</v>
      </c>
      <c r="C630" s="3" t="s">
        <v>0</v>
      </c>
      <c r="D630" s="7">
        <v>0.98</v>
      </c>
      <c r="E630" s="5">
        <v>75</v>
      </c>
      <c r="F630" s="5">
        <v>60</v>
      </c>
      <c r="G630" s="5">
        <v>99</v>
      </c>
      <c r="H630" s="5">
        <v>87</v>
      </c>
      <c r="I630" s="6" t="str">
        <f t="shared" si="27"/>
        <v/>
      </c>
      <c r="J630">
        <f t="shared" si="28"/>
        <v>91.15</v>
      </c>
      <c r="K630" s="4" t="str">
        <f t="shared" si="29"/>
        <v>A</v>
      </c>
      <c r="L630">
        <f>IF(Helper!$E$3="All",1,IF(C630=Helper!$E$3,1,0))</f>
        <v>1</v>
      </c>
    </row>
    <row r="631" spans="1:12" x14ac:dyDescent="0.3">
      <c r="A631" s="3" t="s">
        <v>744</v>
      </c>
      <c r="B631" s="3" t="s">
        <v>743</v>
      </c>
      <c r="C631" s="3" t="s">
        <v>0</v>
      </c>
      <c r="D631" s="7">
        <v>0.94000000000000006</v>
      </c>
      <c r="E631" s="5">
        <v>42</v>
      </c>
      <c r="F631" s="5">
        <v>69</v>
      </c>
      <c r="G631" s="5">
        <v>46</v>
      </c>
      <c r="H631" s="5">
        <v>68</v>
      </c>
      <c r="I631" s="6">
        <f t="shared" si="27"/>
        <v>22</v>
      </c>
      <c r="J631">
        <f t="shared" si="28"/>
        <v>61.150000000000006</v>
      </c>
      <c r="K631" s="4" t="str">
        <f t="shared" si="29"/>
        <v>D</v>
      </c>
      <c r="L631">
        <f>IF(Helper!$E$3="All",1,IF(C631=Helper!$E$3,1,0))</f>
        <v>1</v>
      </c>
    </row>
    <row r="632" spans="1:12" x14ac:dyDescent="0.3">
      <c r="A632" s="3" t="s">
        <v>742</v>
      </c>
      <c r="B632" s="3" t="s">
        <v>741</v>
      </c>
      <c r="C632" s="3" t="s">
        <v>8</v>
      </c>
      <c r="D632" s="7">
        <v>0.62</v>
      </c>
      <c r="E632" s="5">
        <v>48</v>
      </c>
      <c r="F632" s="5">
        <v>52</v>
      </c>
      <c r="G632" s="5">
        <v>80</v>
      </c>
      <c r="H632" s="5">
        <v>44</v>
      </c>
      <c r="I632" s="6">
        <f t="shared" si="27"/>
        <v>-36</v>
      </c>
      <c r="J632">
        <f t="shared" si="28"/>
        <v>54.6</v>
      </c>
      <c r="K632" s="4" t="str">
        <f t="shared" si="29"/>
        <v>F</v>
      </c>
      <c r="L632">
        <f>IF(Helper!$E$3="All",1,IF(C632=Helper!$E$3,1,0))</f>
        <v>1</v>
      </c>
    </row>
    <row r="633" spans="1:12" x14ac:dyDescent="0.3">
      <c r="A633" s="3" t="s">
        <v>740</v>
      </c>
      <c r="B633" s="3" t="s">
        <v>739</v>
      </c>
      <c r="C633" s="3" t="s">
        <v>3</v>
      </c>
      <c r="D633" s="7">
        <v>0.96</v>
      </c>
      <c r="E633" s="5">
        <v>47</v>
      </c>
      <c r="F633" s="5">
        <v>73</v>
      </c>
      <c r="G633" s="5">
        <v>52</v>
      </c>
      <c r="H633" s="5">
        <v>88</v>
      </c>
      <c r="I633" s="6">
        <f t="shared" si="27"/>
        <v>36</v>
      </c>
      <c r="J633">
        <f t="shared" si="28"/>
        <v>72</v>
      </c>
      <c r="K633" s="4" t="str">
        <f t="shared" si="29"/>
        <v>C</v>
      </c>
      <c r="L633">
        <f>IF(Helper!$E$3="All",1,IF(C633=Helper!$E$3,1,0))</f>
        <v>1</v>
      </c>
    </row>
    <row r="634" spans="1:12" x14ac:dyDescent="0.3">
      <c r="A634" s="3" t="s">
        <v>738</v>
      </c>
      <c r="B634" s="3" t="s">
        <v>737</v>
      </c>
      <c r="C634" s="3" t="s">
        <v>8</v>
      </c>
      <c r="D634" s="7">
        <v>0.89</v>
      </c>
      <c r="E634" s="5">
        <v>72</v>
      </c>
      <c r="F634" s="5">
        <v>43</v>
      </c>
      <c r="G634" s="5">
        <v>57</v>
      </c>
      <c r="H634" s="5">
        <v>49</v>
      </c>
      <c r="I634" s="6" t="str">
        <f t="shared" si="27"/>
        <v/>
      </c>
      <c r="J634">
        <f t="shared" si="28"/>
        <v>58.15</v>
      </c>
      <c r="K634" s="4" t="str">
        <f t="shared" si="29"/>
        <v>F</v>
      </c>
      <c r="L634">
        <f>IF(Helper!$E$3="All",1,IF(C634=Helper!$E$3,1,0))</f>
        <v>1</v>
      </c>
    </row>
    <row r="635" spans="1:12" x14ac:dyDescent="0.3">
      <c r="A635" s="3" t="s">
        <v>736</v>
      </c>
      <c r="B635" s="3" t="s">
        <v>735</v>
      </c>
      <c r="C635" s="3" t="s">
        <v>8</v>
      </c>
      <c r="D635" s="7">
        <v>0.97</v>
      </c>
      <c r="E635" s="5">
        <v>98</v>
      </c>
      <c r="F635" s="5">
        <v>67</v>
      </c>
      <c r="G635" s="5">
        <v>76</v>
      </c>
      <c r="H635" s="5">
        <v>67</v>
      </c>
      <c r="I635" s="6" t="str">
        <f t="shared" si="27"/>
        <v/>
      </c>
      <c r="J635">
        <f t="shared" si="28"/>
        <v>75.45</v>
      </c>
      <c r="K635" s="4" t="str">
        <f t="shared" si="29"/>
        <v>C</v>
      </c>
      <c r="L635">
        <f>IF(Helper!$E$3="All",1,IF(C635=Helper!$E$3,1,0))</f>
        <v>1</v>
      </c>
    </row>
    <row r="636" spans="1:12" x14ac:dyDescent="0.3">
      <c r="A636" s="3" t="s">
        <v>734</v>
      </c>
      <c r="B636" s="3" t="s">
        <v>733</v>
      </c>
      <c r="C636" s="3" t="s">
        <v>17</v>
      </c>
      <c r="D636" s="7">
        <v>0.93</v>
      </c>
      <c r="E636" s="5">
        <v>45</v>
      </c>
      <c r="F636" s="5">
        <v>77</v>
      </c>
      <c r="G636" s="5">
        <v>52</v>
      </c>
      <c r="H636" s="5">
        <v>60</v>
      </c>
      <c r="I636" s="6">
        <f t="shared" si="27"/>
        <v>8</v>
      </c>
      <c r="J636">
        <f t="shared" si="28"/>
        <v>60.900000000000006</v>
      </c>
      <c r="K636" s="4" t="str">
        <f t="shared" si="29"/>
        <v>D</v>
      </c>
      <c r="L636">
        <f>IF(Helper!$E$3="All",1,IF(C636=Helper!$E$3,1,0))</f>
        <v>1</v>
      </c>
    </row>
    <row r="637" spans="1:12" x14ac:dyDescent="0.3">
      <c r="A637" s="3" t="s">
        <v>732</v>
      </c>
      <c r="B637" s="3" t="s">
        <v>731</v>
      </c>
      <c r="C637" s="3" t="s">
        <v>17</v>
      </c>
      <c r="D637" s="7">
        <v>0.71</v>
      </c>
      <c r="E637" s="5">
        <v>80</v>
      </c>
      <c r="F637" s="5">
        <v>97</v>
      </c>
      <c r="G637" s="5">
        <v>75</v>
      </c>
      <c r="H637" s="5">
        <v>89</v>
      </c>
      <c r="I637" s="6">
        <f t="shared" si="27"/>
        <v>14</v>
      </c>
      <c r="J637">
        <f t="shared" si="28"/>
        <v>84.45</v>
      </c>
      <c r="K637" s="4" t="str">
        <f t="shared" si="29"/>
        <v>B</v>
      </c>
      <c r="L637">
        <f>IF(Helper!$E$3="All",1,IF(C637=Helper!$E$3,1,0))</f>
        <v>1</v>
      </c>
    </row>
    <row r="638" spans="1:12" x14ac:dyDescent="0.3">
      <c r="A638" s="3" t="s">
        <v>730</v>
      </c>
      <c r="B638" s="3" t="s">
        <v>729</v>
      </c>
      <c r="C638" s="3" t="s">
        <v>8</v>
      </c>
      <c r="D638" s="7">
        <v>0.78</v>
      </c>
      <c r="E638" s="5">
        <v>78</v>
      </c>
      <c r="F638" s="5">
        <v>70</v>
      </c>
      <c r="G638" s="5">
        <v>70</v>
      </c>
      <c r="H638" s="5">
        <v>46</v>
      </c>
      <c r="I638" s="6" t="str">
        <f t="shared" si="27"/>
        <v/>
      </c>
      <c r="J638">
        <f t="shared" si="28"/>
        <v>63.8</v>
      </c>
      <c r="K638" s="4" t="str">
        <f t="shared" si="29"/>
        <v>D</v>
      </c>
      <c r="L638">
        <f>IF(Helper!$E$3="All",1,IF(C638=Helper!$E$3,1,0))</f>
        <v>1</v>
      </c>
    </row>
    <row r="639" spans="1:12" x14ac:dyDescent="0.3">
      <c r="A639" s="3" t="s">
        <v>728</v>
      </c>
      <c r="B639" s="3" t="s">
        <v>727</v>
      </c>
      <c r="C639" s="3" t="s">
        <v>0</v>
      </c>
      <c r="D639" s="7">
        <v>0.96</v>
      </c>
      <c r="E639" s="5">
        <v>43</v>
      </c>
      <c r="F639" s="5">
        <v>98</v>
      </c>
      <c r="G639" s="5">
        <v>41</v>
      </c>
      <c r="H639" s="5">
        <v>42</v>
      </c>
      <c r="I639" s="6" t="str">
        <f t="shared" si="27"/>
        <v/>
      </c>
      <c r="J639">
        <f t="shared" si="28"/>
        <v>50.25</v>
      </c>
      <c r="K639" s="4" t="str">
        <f t="shared" si="29"/>
        <v>F</v>
      </c>
      <c r="L639">
        <f>IF(Helper!$E$3="All",1,IF(C639=Helper!$E$3,1,0))</f>
        <v>1</v>
      </c>
    </row>
    <row r="640" spans="1:12" x14ac:dyDescent="0.3">
      <c r="A640" s="3" t="s">
        <v>726</v>
      </c>
      <c r="B640" s="3" t="s">
        <v>725</v>
      </c>
      <c r="C640" s="3" t="s">
        <v>17</v>
      </c>
      <c r="D640" s="7">
        <v>0.76</v>
      </c>
      <c r="E640" s="5">
        <v>52</v>
      </c>
      <c r="F640" s="5">
        <v>94</v>
      </c>
      <c r="G640" s="5">
        <v>55</v>
      </c>
      <c r="H640" s="5">
        <v>84</v>
      </c>
      <c r="I640" s="6">
        <f t="shared" si="27"/>
        <v>29</v>
      </c>
      <c r="J640">
        <f t="shared" si="28"/>
        <v>72.900000000000006</v>
      </c>
      <c r="K640" s="4" t="str">
        <f t="shared" si="29"/>
        <v>C</v>
      </c>
      <c r="L640">
        <f>IF(Helper!$E$3="All",1,IF(C640=Helper!$E$3,1,0))</f>
        <v>1</v>
      </c>
    </row>
    <row r="641" spans="1:12" x14ac:dyDescent="0.3">
      <c r="A641" s="3" t="s">
        <v>724</v>
      </c>
      <c r="B641" s="3" t="s">
        <v>723</v>
      </c>
      <c r="C641" s="3" t="s">
        <v>3</v>
      </c>
      <c r="D641" s="7">
        <v>0.69000000000000006</v>
      </c>
      <c r="E641" s="5">
        <v>88</v>
      </c>
      <c r="F641" s="5">
        <v>66</v>
      </c>
      <c r="G641" s="5">
        <v>48</v>
      </c>
      <c r="H641" s="5">
        <v>86</v>
      </c>
      <c r="I641" s="6">
        <f t="shared" si="27"/>
        <v>38</v>
      </c>
      <c r="J641">
        <f t="shared" si="28"/>
        <v>61.3</v>
      </c>
      <c r="K641" s="4" t="str">
        <f t="shared" si="29"/>
        <v>D</v>
      </c>
      <c r="L641">
        <f>IF(Helper!$E$3="All",1,IF(C641=Helper!$E$3,1,0))</f>
        <v>1</v>
      </c>
    </row>
    <row r="642" spans="1:12" x14ac:dyDescent="0.3">
      <c r="A642" s="3" t="s">
        <v>722</v>
      </c>
      <c r="B642" s="3" t="s">
        <v>721</v>
      </c>
      <c r="C642" s="3" t="s">
        <v>17</v>
      </c>
      <c r="D642" s="7">
        <v>0.71</v>
      </c>
      <c r="E642" s="5">
        <v>99</v>
      </c>
      <c r="F642" s="5">
        <v>44</v>
      </c>
      <c r="G642" s="5">
        <v>48</v>
      </c>
      <c r="H642" s="5">
        <v>59</v>
      </c>
      <c r="I642" s="6">
        <f t="shared" ref="I642:I705" si="30">IF(H642&gt;G642*1.15,H642-G642,IF(H642&lt;G642*0.65,H642-G642,""))</f>
        <v>11</v>
      </c>
      <c r="J642">
        <f t="shared" ref="J642:J705" si="31">IF(ISBLANK(D642),"",IF(D642&gt;0.7,10,0)+(E642/100*5)+(F642/100*5)+(G642/100*40)+(H642/100*40))</f>
        <v>59.949999999999989</v>
      </c>
      <c r="K642" s="4" t="str">
        <f t="shared" ref="K642:K705" si="32">IF(J642&gt;=90,"A",IF(J642&gt;=80,"B",IF(J642&gt;=70,"C",IF(J642&gt;=60,"D","F"))))</f>
        <v>F</v>
      </c>
      <c r="L642">
        <f>IF(Helper!$E$3="All",1,IF(C642=Helper!$E$3,1,0))</f>
        <v>1</v>
      </c>
    </row>
    <row r="643" spans="1:12" x14ac:dyDescent="0.3">
      <c r="A643" s="3" t="s">
        <v>720</v>
      </c>
      <c r="B643" s="3" t="s">
        <v>719</v>
      </c>
      <c r="C643" s="3" t="s">
        <v>17</v>
      </c>
      <c r="D643" s="7">
        <v>0.75</v>
      </c>
      <c r="E643" s="5">
        <v>41</v>
      </c>
      <c r="F643" s="5">
        <v>64</v>
      </c>
      <c r="G643" s="5">
        <v>77</v>
      </c>
      <c r="H643" s="5">
        <v>58</v>
      </c>
      <c r="I643" s="6" t="str">
        <f t="shared" si="30"/>
        <v/>
      </c>
      <c r="J643">
        <f t="shared" si="31"/>
        <v>69.25</v>
      </c>
      <c r="K643" s="4" t="str">
        <f t="shared" si="32"/>
        <v>D</v>
      </c>
      <c r="L643">
        <f>IF(Helper!$E$3="All",1,IF(C643=Helper!$E$3,1,0))</f>
        <v>1</v>
      </c>
    </row>
    <row r="644" spans="1:12" x14ac:dyDescent="0.3">
      <c r="A644" s="3" t="s">
        <v>718</v>
      </c>
      <c r="B644" s="3" t="s">
        <v>717</v>
      </c>
      <c r="C644" s="3" t="s">
        <v>3</v>
      </c>
      <c r="D644" s="7">
        <v>0.83000000000000007</v>
      </c>
      <c r="E644" s="5">
        <v>99</v>
      </c>
      <c r="F644" s="5">
        <v>42</v>
      </c>
      <c r="G644" s="5">
        <v>50</v>
      </c>
      <c r="H644" s="5">
        <v>74</v>
      </c>
      <c r="I644" s="6">
        <f t="shared" si="30"/>
        <v>24</v>
      </c>
      <c r="J644">
        <f t="shared" si="31"/>
        <v>66.650000000000006</v>
      </c>
      <c r="K644" s="4" t="str">
        <f t="shared" si="32"/>
        <v>D</v>
      </c>
      <c r="L644">
        <f>IF(Helper!$E$3="All",1,IF(C644=Helper!$E$3,1,0))</f>
        <v>1</v>
      </c>
    </row>
    <row r="645" spans="1:12" x14ac:dyDescent="0.3">
      <c r="A645" s="3" t="s">
        <v>716</v>
      </c>
      <c r="B645" s="3" t="s">
        <v>715</v>
      </c>
      <c r="C645" s="3" t="s">
        <v>8</v>
      </c>
      <c r="D645" s="7">
        <v>0.78</v>
      </c>
      <c r="E645" s="5">
        <v>44</v>
      </c>
      <c r="F645" s="5">
        <v>72</v>
      </c>
      <c r="G645" s="5">
        <v>93</v>
      </c>
      <c r="H645" s="5">
        <v>43</v>
      </c>
      <c r="I645" s="6">
        <f t="shared" si="30"/>
        <v>-50</v>
      </c>
      <c r="J645">
        <f t="shared" si="31"/>
        <v>70.2</v>
      </c>
      <c r="K645" s="4" t="str">
        <f t="shared" si="32"/>
        <v>C</v>
      </c>
      <c r="L645">
        <f>IF(Helper!$E$3="All",1,IF(C645=Helper!$E$3,1,0))</f>
        <v>1</v>
      </c>
    </row>
    <row r="646" spans="1:12" x14ac:dyDescent="0.3">
      <c r="A646" s="3" t="s">
        <v>714</v>
      </c>
      <c r="B646" s="3" t="s">
        <v>713</v>
      </c>
      <c r="C646" s="3" t="s">
        <v>3</v>
      </c>
      <c r="D646" s="7">
        <v>0.67</v>
      </c>
      <c r="E646" s="5">
        <v>83</v>
      </c>
      <c r="F646" s="5">
        <v>43</v>
      </c>
      <c r="G646" s="5">
        <v>95</v>
      </c>
      <c r="H646" s="5">
        <v>44</v>
      </c>
      <c r="I646" s="6">
        <f t="shared" si="30"/>
        <v>-51</v>
      </c>
      <c r="J646">
        <f t="shared" si="31"/>
        <v>61.9</v>
      </c>
      <c r="K646" s="4" t="str">
        <f t="shared" si="32"/>
        <v>D</v>
      </c>
      <c r="L646">
        <f>IF(Helper!$E$3="All",1,IF(C646=Helper!$E$3,1,0))</f>
        <v>1</v>
      </c>
    </row>
    <row r="647" spans="1:12" x14ac:dyDescent="0.3">
      <c r="A647" s="3" t="s">
        <v>712</v>
      </c>
      <c r="B647" s="3" t="s">
        <v>711</v>
      </c>
      <c r="C647" s="3" t="s">
        <v>8</v>
      </c>
      <c r="D647" s="7">
        <v>0.9</v>
      </c>
      <c r="E647" s="5">
        <v>66</v>
      </c>
      <c r="F647" s="5">
        <v>64</v>
      </c>
      <c r="G647" s="5">
        <v>61</v>
      </c>
      <c r="H647" s="5">
        <v>40</v>
      </c>
      <c r="I647" s="6" t="str">
        <f t="shared" si="30"/>
        <v/>
      </c>
      <c r="J647">
        <f t="shared" si="31"/>
        <v>56.9</v>
      </c>
      <c r="K647" s="4" t="str">
        <f t="shared" si="32"/>
        <v>F</v>
      </c>
      <c r="L647">
        <f>IF(Helper!$E$3="All",1,IF(C647=Helper!$E$3,1,0))</f>
        <v>1</v>
      </c>
    </row>
    <row r="648" spans="1:12" x14ac:dyDescent="0.3">
      <c r="A648" s="3" t="s">
        <v>710</v>
      </c>
      <c r="B648" s="3" t="s">
        <v>709</v>
      </c>
      <c r="C648" s="3" t="s">
        <v>8</v>
      </c>
      <c r="D648" s="7">
        <v>0.8</v>
      </c>
      <c r="E648" s="5">
        <v>71</v>
      </c>
      <c r="F648" s="5">
        <v>59</v>
      </c>
      <c r="G648" s="5">
        <v>72</v>
      </c>
      <c r="H648" s="5">
        <v>43</v>
      </c>
      <c r="I648" s="6">
        <f t="shared" si="30"/>
        <v>-29</v>
      </c>
      <c r="J648">
        <f t="shared" si="31"/>
        <v>62.5</v>
      </c>
      <c r="K648" s="4" t="str">
        <f t="shared" si="32"/>
        <v>D</v>
      </c>
      <c r="L648">
        <f>IF(Helper!$E$3="All",1,IF(C648=Helper!$E$3,1,0))</f>
        <v>1</v>
      </c>
    </row>
    <row r="649" spans="1:12" x14ac:dyDescent="0.3">
      <c r="A649" s="3" t="s">
        <v>708</v>
      </c>
      <c r="B649" s="3" t="s">
        <v>707</v>
      </c>
      <c r="C649" s="3" t="s">
        <v>8</v>
      </c>
      <c r="D649" s="7">
        <v>0.76</v>
      </c>
      <c r="E649" s="5">
        <v>60</v>
      </c>
      <c r="F649" s="5">
        <v>73</v>
      </c>
      <c r="G649" s="5">
        <v>75</v>
      </c>
      <c r="H649" s="5">
        <v>51</v>
      </c>
      <c r="I649" s="6" t="str">
        <f t="shared" si="30"/>
        <v/>
      </c>
      <c r="J649">
        <f t="shared" si="31"/>
        <v>67.05</v>
      </c>
      <c r="K649" s="4" t="str">
        <f t="shared" si="32"/>
        <v>D</v>
      </c>
      <c r="L649">
        <f>IF(Helper!$E$3="All",1,IF(C649=Helper!$E$3,1,0))</f>
        <v>1</v>
      </c>
    </row>
    <row r="650" spans="1:12" x14ac:dyDescent="0.3">
      <c r="A650" s="3" t="s">
        <v>706</v>
      </c>
      <c r="B650" s="3" t="s">
        <v>705</v>
      </c>
      <c r="C650" s="3" t="s">
        <v>3</v>
      </c>
      <c r="D650" s="7">
        <v>0.82000000000000006</v>
      </c>
      <c r="E650" s="5">
        <v>47</v>
      </c>
      <c r="F650" s="5">
        <v>65</v>
      </c>
      <c r="G650" s="5">
        <v>84</v>
      </c>
      <c r="H650" s="5">
        <v>99</v>
      </c>
      <c r="I650" s="6">
        <f t="shared" si="30"/>
        <v>15</v>
      </c>
      <c r="J650">
        <f t="shared" si="31"/>
        <v>88.800000000000011</v>
      </c>
      <c r="K650" s="4" t="str">
        <f t="shared" si="32"/>
        <v>B</v>
      </c>
      <c r="L650">
        <f>IF(Helper!$E$3="All",1,IF(C650=Helper!$E$3,1,0))</f>
        <v>1</v>
      </c>
    </row>
    <row r="651" spans="1:12" x14ac:dyDescent="0.3">
      <c r="A651" s="3" t="s">
        <v>704</v>
      </c>
      <c r="B651" s="3" t="s">
        <v>703</v>
      </c>
      <c r="C651" s="3" t="s">
        <v>8</v>
      </c>
      <c r="D651" s="7">
        <v>0.96</v>
      </c>
      <c r="E651" s="5">
        <v>77</v>
      </c>
      <c r="F651" s="5">
        <v>44</v>
      </c>
      <c r="G651" s="5">
        <v>62</v>
      </c>
      <c r="H651" s="5">
        <v>66</v>
      </c>
      <c r="I651" s="6" t="str">
        <f t="shared" si="30"/>
        <v/>
      </c>
      <c r="J651">
        <f t="shared" si="31"/>
        <v>67.25</v>
      </c>
      <c r="K651" s="4" t="str">
        <f t="shared" si="32"/>
        <v>D</v>
      </c>
      <c r="L651">
        <f>IF(Helper!$E$3="All",1,IF(C651=Helper!$E$3,1,0))</f>
        <v>1</v>
      </c>
    </row>
    <row r="652" spans="1:12" x14ac:dyDescent="0.3">
      <c r="A652" s="3" t="s">
        <v>702</v>
      </c>
      <c r="B652" s="3" t="s">
        <v>701</v>
      </c>
      <c r="C652" s="3" t="s">
        <v>0</v>
      </c>
      <c r="D652" s="7">
        <v>0.75</v>
      </c>
      <c r="E652" s="5">
        <v>47</v>
      </c>
      <c r="F652" s="5">
        <v>74</v>
      </c>
      <c r="G652" s="5">
        <v>84</v>
      </c>
      <c r="H652" s="5">
        <v>95</v>
      </c>
      <c r="I652" s="6" t="str">
        <f t="shared" si="30"/>
        <v/>
      </c>
      <c r="J652">
        <f t="shared" si="31"/>
        <v>87.65</v>
      </c>
      <c r="K652" s="4" t="str">
        <f t="shared" si="32"/>
        <v>B</v>
      </c>
      <c r="L652">
        <f>IF(Helper!$E$3="All",1,IF(C652=Helper!$E$3,1,0))</f>
        <v>1</v>
      </c>
    </row>
    <row r="653" spans="1:12" x14ac:dyDescent="0.3">
      <c r="A653" s="3" t="s">
        <v>700</v>
      </c>
      <c r="B653" s="3" t="s">
        <v>699</v>
      </c>
      <c r="C653" s="3" t="s">
        <v>3</v>
      </c>
      <c r="D653" s="7">
        <v>0.65</v>
      </c>
      <c r="E653" s="5">
        <v>89</v>
      </c>
      <c r="F653" s="5">
        <v>100</v>
      </c>
      <c r="G653" s="5">
        <v>84</v>
      </c>
      <c r="H653" s="5">
        <v>81</v>
      </c>
      <c r="I653" s="6" t="str">
        <f t="shared" si="30"/>
        <v/>
      </c>
      <c r="J653">
        <f t="shared" si="31"/>
        <v>75.45</v>
      </c>
      <c r="K653" s="4" t="str">
        <f t="shared" si="32"/>
        <v>C</v>
      </c>
      <c r="L653">
        <f>IF(Helper!$E$3="All",1,IF(C653=Helper!$E$3,1,0))</f>
        <v>1</v>
      </c>
    </row>
    <row r="654" spans="1:12" x14ac:dyDescent="0.3">
      <c r="A654" s="3" t="s">
        <v>698</v>
      </c>
      <c r="B654" s="3" t="s">
        <v>697</v>
      </c>
      <c r="C654" s="3" t="s">
        <v>0</v>
      </c>
      <c r="D654" s="7">
        <v>0.67</v>
      </c>
      <c r="E654" s="5">
        <v>42</v>
      </c>
      <c r="F654" s="5">
        <v>67</v>
      </c>
      <c r="G654" s="5">
        <v>73</v>
      </c>
      <c r="H654" s="5">
        <v>62</v>
      </c>
      <c r="I654" s="6" t="str">
        <f t="shared" si="30"/>
        <v/>
      </c>
      <c r="J654">
        <f t="shared" si="31"/>
        <v>59.45</v>
      </c>
      <c r="K654" s="4" t="str">
        <f t="shared" si="32"/>
        <v>F</v>
      </c>
      <c r="L654">
        <f>IF(Helper!$E$3="All",1,IF(C654=Helper!$E$3,1,0))</f>
        <v>1</v>
      </c>
    </row>
    <row r="655" spans="1:12" x14ac:dyDescent="0.3">
      <c r="A655" s="3" t="s">
        <v>696</v>
      </c>
      <c r="B655" s="3" t="s">
        <v>695</v>
      </c>
      <c r="C655" s="3" t="s">
        <v>8</v>
      </c>
      <c r="D655" s="7">
        <v>0.84</v>
      </c>
      <c r="E655" s="5">
        <v>93</v>
      </c>
      <c r="F655" s="5">
        <v>68</v>
      </c>
      <c r="G655" s="5">
        <v>48</v>
      </c>
      <c r="H655" s="5">
        <v>64</v>
      </c>
      <c r="I655" s="6">
        <f t="shared" si="30"/>
        <v>16</v>
      </c>
      <c r="J655">
        <f t="shared" si="31"/>
        <v>62.85</v>
      </c>
      <c r="K655" s="4" t="str">
        <f t="shared" si="32"/>
        <v>D</v>
      </c>
      <c r="L655">
        <f>IF(Helper!$E$3="All",1,IF(C655=Helper!$E$3,1,0))</f>
        <v>1</v>
      </c>
    </row>
    <row r="656" spans="1:12" x14ac:dyDescent="0.3">
      <c r="A656" s="3" t="s">
        <v>694</v>
      </c>
      <c r="B656" s="3" t="s">
        <v>693</v>
      </c>
      <c r="C656" s="3" t="s">
        <v>17</v>
      </c>
      <c r="D656" s="7">
        <v>0.77</v>
      </c>
      <c r="E656" s="5">
        <v>83</v>
      </c>
      <c r="F656" s="5">
        <v>48</v>
      </c>
      <c r="G656" s="5">
        <v>63</v>
      </c>
      <c r="H656" s="5">
        <v>60</v>
      </c>
      <c r="I656" s="6" t="str">
        <f t="shared" si="30"/>
        <v/>
      </c>
      <c r="J656">
        <f t="shared" si="31"/>
        <v>65.75</v>
      </c>
      <c r="K656" s="4" t="str">
        <f t="shared" si="32"/>
        <v>D</v>
      </c>
      <c r="L656">
        <f>IF(Helper!$E$3="All",1,IF(C656=Helper!$E$3,1,0))</f>
        <v>1</v>
      </c>
    </row>
    <row r="657" spans="1:12" x14ac:dyDescent="0.3">
      <c r="A657" s="3" t="s">
        <v>692</v>
      </c>
      <c r="B657" s="3" t="s">
        <v>691</v>
      </c>
      <c r="C657" s="3" t="s">
        <v>8</v>
      </c>
      <c r="D657" s="7">
        <v>0.84</v>
      </c>
      <c r="E657" s="5">
        <v>100</v>
      </c>
      <c r="F657" s="5">
        <v>91</v>
      </c>
      <c r="G657" s="5">
        <v>47</v>
      </c>
      <c r="H657" s="5">
        <v>100</v>
      </c>
      <c r="I657" s="6">
        <f t="shared" si="30"/>
        <v>53</v>
      </c>
      <c r="J657">
        <f t="shared" si="31"/>
        <v>78.349999999999994</v>
      </c>
      <c r="K657" s="4" t="str">
        <f t="shared" si="32"/>
        <v>C</v>
      </c>
      <c r="L657">
        <f>IF(Helper!$E$3="All",1,IF(C657=Helper!$E$3,1,0))</f>
        <v>1</v>
      </c>
    </row>
    <row r="658" spans="1:12" x14ac:dyDescent="0.3">
      <c r="A658" s="3" t="s">
        <v>690</v>
      </c>
      <c r="B658" s="3" t="s">
        <v>689</v>
      </c>
      <c r="C658" s="3" t="s">
        <v>0</v>
      </c>
      <c r="D658" s="7">
        <v>0.71</v>
      </c>
      <c r="E658" s="5">
        <v>97</v>
      </c>
      <c r="F658" s="5">
        <v>77</v>
      </c>
      <c r="G658" s="5">
        <v>46</v>
      </c>
      <c r="H658" s="5">
        <v>97</v>
      </c>
      <c r="I658" s="6">
        <f t="shared" si="30"/>
        <v>51</v>
      </c>
      <c r="J658">
        <f t="shared" si="31"/>
        <v>75.900000000000006</v>
      </c>
      <c r="K658" s="4" t="str">
        <f t="shared" si="32"/>
        <v>C</v>
      </c>
      <c r="L658">
        <f>IF(Helper!$E$3="All",1,IF(C658=Helper!$E$3,1,0))</f>
        <v>1</v>
      </c>
    </row>
    <row r="659" spans="1:12" x14ac:dyDescent="0.3">
      <c r="A659" s="3" t="s">
        <v>688</v>
      </c>
      <c r="B659" s="3" t="s">
        <v>687</v>
      </c>
      <c r="C659" s="3" t="s">
        <v>0</v>
      </c>
      <c r="D659" s="7">
        <v>0.74</v>
      </c>
      <c r="E659" s="5">
        <v>42</v>
      </c>
      <c r="F659" s="5">
        <v>89</v>
      </c>
      <c r="G659" s="5">
        <v>75</v>
      </c>
      <c r="H659" s="5">
        <v>91</v>
      </c>
      <c r="I659" s="6">
        <f t="shared" si="30"/>
        <v>16</v>
      </c>
      <c r="J659">
        <f t="shared" si="31"/>
        <v>82.949999999999989</v>
      </c>
      <c r="K659" s="4" t="str">
        <f t="shared" si="32"/>
        <v>B</v>
      </c>
      <c r="L659">
        <f>IF(Helper!$E$3="All",1,IF(C659=Helper!$E$3,1,0))</f>
        <v>1</v>
      </c>
    </row>
    <row r="660" spans="1:12" x14ac:dyDescent="0.3">
      <c r="A660" s="3" t="s">
        <v>686</v>
      </c>
      <c r="B660" s="3" t="s">
        <v>685</v>
      </c>
      <c r="C660" s="3" t="s">
        <v>3</v>
      </c>
      <c r="D660" s="7">
        <v>0.85</v>
      </c>
      <c r="E660" s="5">
        <v>61</v>
      </c>
      <c r="F660" s="5">
        <v>45</v>
      </c>
      <c r="G660" s="5">
        <v>57</v>
      </c>
      <c r="H660" s="5">
        <v>63</v>
      </c>
      <c r="I660" s="6" t="str">
        <f t="shared" si="30"/>
        <v/>
      </c>
      <c r="J660">
        <f t="shared" si="31"/>
        <v>63.3</v>
      </c>
      <c r="K660" s="4" t="str">
        <f t="shared" si="32"/>
        <v>D</v>
      </c>
      <c r="L660">
        <f>IF(Helper!$E$3="All",1,IF(C660=Helper!$E$3,1,0))</f>
        <v>1</v>
      </c>
    </row>
    <row r="661" spans="1:12" x14ac:dyDescent="0.3">
      <c r="A661" s="3" t="s">
        <v>684</v>
      </c>
      <c r="B661" s="3" t="s">
        <v>683</v>
      </c>
      <c r="C661" s="3" t="s">
        <v>17</v>
      </c>
      <c r="D661" s="7">
        <v>1</v>
      </c>
      <c r="E661" s="5">
        <v>45</v>
      </c>
      <c r="F661" s="5">
        <v>58</v>
      </c>
      <c r="G661" s="5">
        <v>42</v>
      </c>
      <c r="H661" s="5">
        <v>64</v>
      </c>
      <c r="I661" s="6">
        <f t="shared" si="30"/>
        <v>22</v>
      </c>
      <c r="J661">
        <f t="shared" si="31"/>
        <v>57.550000000000004</v>
      </c>
      <c r="K661" s="4" t="str">
        <f t="shared" si="32"/>
        <v>F</v>
      </c>
      <c r="L661">
        <f>IF(Helper!$E$3="All",1,IF(C661=Helper!$E$3,1,0))</f>
        <v>1</v>
      </c>
    </row>
    <row r="662" spans="1:12" x14ac:dyDescent="0.3">
      <c r="A662" s="3" t="s">
        <v>682</v>
      </c>
      <c r="B662" s="3" t="s">
        <v>681</v>
      </c>
      <c r="C662" s="3" t="s">
        <v>3</v>
      </c>
      <c r="D662" s="7">
        <v>0.85</v>
      </c>
      <c r="E662" s="5">
        <v>41</v>
      </c>
      <c r="F662" s="5">
        <v>99</v>
      </c>
      <c r="G662" s="5">
        <v>67</v>
      </c>
      <c r="H662" s="5">
        <v>84</v>
      </c>
      <c r="I662" s="6">
        <f t="shared" si="30"/>
        <v>17</v>
      </c>
      <c r="J662">
        <f t="shared" si="31"/>
        <v>77.400000000000006</v>
      </c>
      <c r="K662" s="4" t="str">
        <f t="shared" si="32"/>
        <v>C</v>
      </c>
      <c r="L662">
        <f>IF(Helper!$E$3="All",1,IF(C662=Helper!$E$3,1,0))</f>
        <v>1</v>
      </c>
    </row>
    <row r="663" spans="1:12" x14ac:dyDescent="0.3">
      <c r="A663" s="3" t="s">
        <v>680</v>
      </c>
      <c r="B663" s="3" t="s">
        <v>679</v>
      </c>
      <c r="C663" s="3" t="s">
        <v>0</v>
      </c>
      <c r="D663" s="7">
        <v>0.91</v>
      </c>
      <c r="E663" s="5">
        <v>62</v>
      </c>
      <c r="F663" s="5">
        <v>83</v>
      </c>
      <c r="G663" s="5">
        <v>45</v>
      </c>
      <c r="H663" s="5">
        <v>94</v>
      </c>
      <c r="I663" s="6">
        <f t="shared" si="30"/>
        <v>49</v>
      </c>
      <c r="J663">
        <f t="shared" si="31"/>
        <v>72.849999999999994</v>
      </c>
      <c r="K663" s="4" t="str">
        <f t="shared" si="32"/>
        <v>C</v>
      </c>
      <c r="L663">
        <f>IF(Helper!$E$3="All",1,IF(C663=Helper!$E$3,1,0))</f>
        <v>1</v>
      </c>
    </row>
    <row r="664" spans="1:12" x14ac:dyDescent="0.3">
      <c r="A664" s="3" t="s">
        <v>678</v>
      </c>
      <c r="B664" s="3" t="s">
        <v>677</v>
      </c>
      <c r="C664" s="3" t="s">
        <v>8</v>
      </c>
      <c r="D664" s="7">
        <v>0.69000000000000006</v>
      </c>
      <c r="E664" s="5">
        <v>83</v>
      </c>
      <c r="F664" s="5">
        <v>96</v>
      </c>
      <c r="G664" s="5">
        <v>83</v>
      </c>
      <c r="H664" s="5">
        <v>85</v>
      </c>
      <c r="I664" s="6" t="str">
        <f t="shared" si="30"/>
        <v/>
      </c>
      <c r="J664">
        <f t="shared" si="31"/>
        <v>76.149999999999991</v>
      </c>
      <c r="K664" s="4" t="str">
        <f t="shared" si="32"/>
        <v>C</v>
      </c>
      <c r="L664">
        <f>IF(Helper!$E$3="All",1,IF(C664=Helper!$E$3,1,0))</f>
        <v>1</v>
      </c>
    </row>
    <row r="665" spans="1:12" x14ac:dyDescent="0.3">
      <c r="A665" s="3" t="s">
        <v>676</v>
      </c>
      <c r="B665" s="3" t="s">
        <v>675</v>
      </c>
      <c r="C665" s="3" t="s">
        <v>17</v>
      </c>
      <c r="D665" s="7">
        <v>0.75</v>
      </c>
      <c r="E665" s="5">
        <v>41</v>
      </c>
      <c r="F665" s="5">
        <v>50</v>
      </c>
      <c r="G665" s="5">
        <v>83</v>
      </c>
      <c r="H665" s="5">
        <v>71</v>
      </c>
      <c r="I665" s="6" t="str">
        <f t="shared" si="30"/>
        <v/>
      </c>
      <c r="J665">
        <f t="shared" si="31"/>
        <v>76.150000000000006</v>
      </c>
      <c r="K665" s="4" t="str">
        <f t="shared" si="32"/>
        <v>C</v>
      </c>
      <c r="L665">
        <f>IF(Helper!$E$3="All",1,IF(C665=Helper!$E$3,1,0))</f>
        <v>1</v>
      </c>
    </row>
    <row r="666" spans="1:12" x14ac:dyDescent="0.3">
      <c r="A666" s="3" t="s">
        <v>674</v>
      </c>
      <c r="B666" s="3" t="s">
        <v>673</v>
      </c>
      <c r="C666" s="3" t="s">
        <v>8</v>
      </c>
      <c r="D666" s="7">
        <v>0.66</v>
      </c>
      <c r="E666" s="5">
        <v>77</v>
      </c>
      <c r="F666" s="5">
        <v>41</v>
      </c>
      <c r="G666" s="5">
        <v>60</v>
      </c>
      <c r="H666" s="5">
        <v>94</v>
      </c>
      <c r="I666" s="6">
        <f t="shared" si="30"/>
        <v>34</v>
      </c>
      <c r="J666">
        <f t="shared" si="31"/>
        <v>67.5</v>
      </c>
      <c r="K666" s="4" t="str">
        <f t="shared" si="32"/>
        <v>D</v>
      </c>
      <c r="L666">
        <f>IF(Helper!$E$3="All",1,IF(C666=Helper!$E$3,1,0))</f>
        <v>1</v>
      </c>
    </row>
    <row r="667" spans="1:12" x14ac:dyDescent="0.3">
      <c r="A667" s="3" t="s">
        <v>672</v>
      </c>
      <c r="B667" s="3" t="s">
        <v>671</v>
      </c>
      <c r="C667" s="3" t="s">
        <v>8</v>
      </c>
      <c r="D667" s="7">
        <v>0.76</v>
      </c>
      <c r="E667" s="5">
        <v>56</v>
      </c>
      <c r="F667" s="5">
        <v>86</v>
      </c>
      <c r="G667" s="5">
        <v>67</v>
      </c>
      <c r="H667" s="5">
        <v>71</v>
      </c>
      <c r="I667" s="6" t="str">
        <f t="shared" si="30"/>
        <v/>
      </c>
      <c r="J667">
        <f t="shared" si="31"/>
        <v>72.300000000000011</v>
      </c>
      <c r="K667" s="4" t="str">
        <f t="shared" si="32"/>
        <v>C</v>
      </c>
      <c r="L667">
        <f>IF(Helper!$E$3="All",1,IF(C667=Helper!$E$3,1,0))</f>
        <v>1</v>
      </c>
    </row>
    <row r="668" spans="1:12" x14ac:dyDescent="0.3">
      <c r="A668" s="3" t="s">
        <v>670</v>
      </c>
      <c r="B668" s="3" t="s">
        <v>669</v>
      </c>
      <c r="C668" s="3" t="s">
        <v>17</v>
      </c>
      <c r="D668" s="7">
        <v>0.82000000000000006</v>
      </c>
      <c r="E668" s="5">
        <v>74</v>
      </c>
      <c r="F668" s="5">
        <v>83</v>
      </c>
      <c r="G668" s="5">
        <v>79</v>
      </c>
      <c r="H668" s="5">
        <v>44</v>
      </c>
      <c r="I668" s="6">
        <f t="shared" si="30"/>
        <v>-35</v>
      </c>
      <c r="J668">
        <f t="shared" si="31"/>
        <v>67.050000000000011</v>
      </c>
      <c r="K668" s="4" t="str">
        <f t="shared" si="32"/>
        <v>D</v>
      </c>
      <c r="L668">
        <f>IF(Helper!$E$3="All",1,IF(C668=Helper!$E$3,1,0))</f>
        <v>1</v>
      </c>
    </row>
    <row r="669" spans="1:12" x14ac:dyDescent="0.3">
      <c r="A669" s="3" t="s">
        <v>668</v>
      </c>
      <c r="B669" s="3" t="s">
        <v>667</v>
      </c>
      <c r="C669" s="3" t="s">
        <v>3</v>
      </c>
      <c r="D669" s="7">
        <v>0.85</v>
      </c>
      <c r="E669" s="5">
        <v>73</v>
      </c>
      <c r="F669" s="5">
        <v>83</v>
      </c>
      <c r="G669" s="5">
        <v>93</v>
      </c>
      <c r="H669" s="5">
        <v>75</v>
      </c>
      <c r="I669" s="6" t="str">
        <f t="shared" si="30"/>
        <v/>
      </c>
      <c r="J669">
        <f t="shared" si="31"/>
        <v>85</v>
      </c>
      <c r="K669" s="4" t="str">
        <f t="shared" si="32"/>
        <v>B</v>
      </c>
      <c r="L669">
        <f>IF(Helper!$E$3="All",1,IF(C669=Helper!$E$3,1,0))</f>
        <v>1</v>
      </c>
    </row>
    <row r="670" spans="1:12" x14ac:dyDescent="0.3">
      <c r="A670" s="3" t="s">
        <v>666</v>
      </c>
      <c r="B670" s="3" t="s">
        <v>665</v>
      </c>
      <c r="C670" s="3" t="s">
        <v>8</v>
      </c>
      <c r="D670" s="7">
        <v>0.8</v>
      </c>
      <c r="E670" s="5">
        <v>62</v>
      </c>
      <c r="F670" s="5">
        <v>48</v>
      </c>
      <c r="G670" s="5">
        <v>93</v>
      </c>
      <c r="H670" s="5">
        <v>85</v>
      </c>
      <c r="I670" s="6" t="str">
        <f t="shared" si="30"/>
        <v/>
      </c>
      <c r="J670">
        <f t="shared" si="31"/>
        <v>86.7</v>
      </c>
      <c r="K670" s="4" t="str">
        <f t="shared" si="32"/>
        <v>B</v>
      </c>
      <c r="L670">
        <f>IF(Helper!$E$3="All",1,IF(C670=Helper!$E$3,1,0))</f>
        <v>1</v>
      </c>
    </row>
    <row r="671" spans="1:12" x14ac:dyDescent="0.3">
      <c r="A671" s="3" t="s">
        <v>664</v>
      </c>
      <c r="B671" s="3" t="s">
        <v>663</v>
      </c>
      <c r="C671" s="3" t="s">
        <v>0</v>
      </c>
      <c r="D671" s="7">
        <v>0.81</v>
      </c>
      <c r="E671" s="5">
        <v>69</v>
      </c>
      <c r="F671" s="5">
        <v>60</v>
      </c>
      <c r="G671" s="5">
        <v>40</v>
      </c>
      <c r="H671" s="5">
        <v>81</v>
      </c>
      <c r="I671" s="6">
        <f t="shared" si="30"/>
        <v>41</v>
      </c>
      <c r="J671">
        <f t="shared" si="31"/>
        <v>64.850000000000009</v>
      </c>
      <c r="K671" s="4" t="str">
        <f t="shared" si="32"/>
        <v>D</v>
      </c>
      <c r="L671">
        <f>IF(Helper!$E$3="All",1,IF(C671=Helper!$E$3,1,0))</f>
        <v>1</v>
      </c>
    </row>
    <row r="672" spans="1:12" x14ac:dyDescent="0.3">
      <c r="A672" s="3" t="s">
        <v>662</v>
      </c>
      <c r="B672" s="3" t="s">
        <v>661</v>
      </c>
      <c r="C672" s="3" t="s">
        <v>8</v>
      </c>
      <c r="D672" s="7">
        <v>0.66</v>
      </c>
      <c r="E672" s="5">
        <v>91</v>
      </c>
      <c r="F672" s="5">
        <v>63</v>
      </c>
      <c r="G672" s="5">
        <v>75</v>
      </c>
      <c r="H672" s="5">
        <v>88</v>
      </c>
      <c r="I672" s="6">
        <f t="shared" si="30"/>
        <v>13</v>
      </c>
      <c r="J672">
        <f t="shared" si="31"/>
        <v>72.900000000000006</v>
      </c>
      <c r="K672" s="4" t="str">
        <f t="shared" si="32"/>
        <v>C</v>
      </c>
      <c r="L672">
        <f>IF(Helper!$E$3="All",1,IF(C672=Helper!$E$3,1,0))</f>
        <v>1</v>
      </c>
    </row>
    <row r="673" spans="1:12" x14ac:dyDescent="0.3">
      <c r="A673" s="3" t="s">
        <v>660</v>
      </c>
      <c r="B673" s="3" t="s">
        <v>659</v>
      </c>
      <c r="C673" s="3" t="s">
        <v>17</v>
      </c>
      <c r="D673" s="7">
        <v>0.73</v>
      </c>
      <c r="E673" s="5">
        <v>47</v>
      </c>
      <c r="F673" s="5">
        <v>73</v>
      </c>
      <c r="G673" s="5">
        <v>60</v>
      </c>
      <c r="H673" s="5">
        <v>81</v>
      </c>
      <c r="I673" s="6">
        <f t="shared" si="30"/>
        <v>21</v>
      </c>
      <c r="J673">
        <f t="shared" si="31"/>
        <v>72.400000000000006</v>
      </c>
      <c r="K673" s="4" t="str">
        <f t="shared" si="32"/>
        <v>C</v>
      </c>
      <c r="L673">
        <f>IF(Helper!$E$3="All",1,IF(C673=Helper!$E$3,1,0))</f>
        <v>1</v>
      </c>
    </row>
    <row r="674" spans="1:12" x14ac:dyDescent="0.3">
      <c r="A674" s="3" t="s">
        <v>658</v>
      </c>
      <c r="B674" s="3" t="s">
        <v>657</v>
      </c>
      <c r="C674" s="3" t="s">
        <v>17</v>
      </c>
      <c r="D674" s="7">
        <v>0.74</v>
      </c>
      <c r="E674" s="5">
        <v>61</v>
      </c>
      <c r="F674" s="5">
        <v>61</v>
      </c>
      <c r="G674" s="5">
        <v>99</v>
      </c>
      <c r="H674" s="5">
        <v>97</v>
      </c>
      <c r="I674" s="6" t="str">
        <f t="shared" si="30"/>
        <v/>
      </c>
      <c r="J674">
        <f t="shared" si="31"/>
        <v>94.5</v>
      </c>
      <c r="K674" s="4" t="str">
        <f t="shared" si="32"/>
        <v>A</v>
      </c>
      <c r="L674">
        <f>IF(Helper!$E$3="All",1,IF(C674=Helper!$E$3,1,0))</f>
        <v>1</v>
      </c>
    </row>
    <row r="675" spans="1:12" x14ac:dyDescent="0.3">
      <c r="A675" s="3" t="s">
        <v>656</v>
      </c>
      <c r="B675" s="3" t="s">
        <v>655</v>
      </c>
      <c r="C675" s="3" t="s">
        <v>17</v>
      </c>
      <c r="D675" s="7">
        <v>0.66</v>
      </c>
      <c r="E675" s="5">
        <v>83</v>
      </c>
      <c r="F675" s="5">
        <v>42</v>
      </c>
      <c r="G675" s="5">
        <v>82</v>
      </c>
      <c r="H675" s="5">
        <v>78</v>
      </c>
      <c r="I675" s="6" t="str">
        <f t="shared" si="30"/>
        <v/>
      </c>
      <c r="J675">
        <f t="shared" si="31"/>
        <v>70.25</v>
      </c>
      <c r="K675" s="4" t="str">
        <f t="shared" si="32"/>
        <v>C</v>
      </c>
      <c r="L675">
        <f>IF(Helper!$E$3="All",1,IF(C675=Helper!$E$3,1,0))</f>
        <v>1</v>
      </c>
    </row>
    <row r="676" spans="1:12" x14ac:dyDescent="0.3">
      <c r="A676" s="3" t="s">
        <v>654</v>
      </c>
      <c r="B676" s="3" t="s">
        <v>653</v>
      </c>
      <c r="C676" s="3" t="s">
        <v>3</v>
      </c>
      <c r="D676" s="7">
        <v>0.68</v>
      </c>
      <c r="E676" s="5">
        <v>97</v>
      </c>
      <c r="F676" s="5">
        <v>51</v>
      </c>
      <c r="G676" s="5">
        <v>74</v>
      </c>
      <c r="H676" s="5">
        <v>55</v>
      </c>
      <c r="I676" s="6" t="str">
        <f t="shared" si="30"/>
        <v/>
      </c>
      <c r="J676">
        <f t="shared" si="31"/>
        <v>59</v>
      </c>
      <c r="K676" s="4" t="str">
        <f t="shared" si="32"/>
        <v>F</v>
      </c>
      <c r="L676">
        <f>IF(Helper!$E$3="All",1,IF(C676=Helper!$E$3,1,0))</f>
        <v>1</v>
      </c>
    </row>
    <row r="677" spans="1:12" x14ac:dyDescent="0.3">
      <c r="A677" s="3" t="s">
        <v>652</v>
      </c>
      <c r="B677" s="3" t="s">
        <v>651</v>
      </c>
      <c r="C677" s="3" t="s">
        <v>8</v>
      </c>
      <c r="D677" s="7">
        <v>0.67</v>
      </c>
      <c r="E677" s="5">
        <v>75</v>
      </c>
      <c r="F677" s="5">
        <v>67</v>
      </c>
      <c r="G677" s="5">
        <v>52</v>
      </c>
      <c r="H677" s="5">
        <v>72</v>
      </c>
      <c r="I677" s="6">
        <f t="shared" si="30"/>
        <v>20</v>
      </c>
      <c r="J677">
        <f t="shared" si="31"/>
        <v>56.699999999999996</v>
      </c>
      <c r="K677" s="4" t="str">
        <f t="shared" si="32"/>
        <v>F</v>
      </c>
      <c r="L677">
        <f>IF(Helper!$E$3="All",1,IF(C677=Helper!$E$3,1,0))</f>
        <v>1</v>
      </c>
    </row>
    <row r="678" spans="1:12" x14ac:dyDescent="0.3">
      <c r="A678" s="3" t="s">
        <v>650</v>
      </c>
      <c r="B678" s="3" t="s">
        <v>649</v>
      </c>
      <c r="C678" s="3" t="s">
        <v>3</v>
      </c>
      <c r="D678" s="7">
        <v>0.82000000000000006</v>
      </c>
      <c r="E678" s="5">
        <v>44</v>
      </c>
      <c r="F678" s="5">
        <v>69</v>
      </c>
      <c r="G678" s="5">
        <v>96</v>
      </c>
      <c r="H678" s="5">
        <v>88</v>
      </c>
      <c r="I678" s="6" t="str">
        <f t="shared" si="30"/>
        <v/>
      </c>
      <c r="J678">
        <f t="shared" si="31"/>
        <v>89.25</v>
      </c>
      <c r="K678" s="4" t="str">
        <f t="shared" si="32"/>
        <v>B</v>
      </c>
      <c r="L678">
        <f>IF(Helper!$E$3="All",1,IF(C678=Helper!$E$3,1,0))</f>
        <v>1</v>
      </c>
    </row>
    <row r="679" spans="1:12" x14ac:dyDescent="0.3">
      <c r="A679" s="3" t="s">
        <v>648</v>
      </c>
      <c r="B679" s="3" t="s">
        <v>647</v>
      </c>
      <c r="C679" s="3" t="s">
        <v>3</v>
      </c>
      <c r="D679" s="7">
        <v>0.88</v>
      </c>
      <c r="E679" s="5">
        <v>52</v>
      </c>
      <c r="F679" s="5">
        <v>65</v>
      </c>
      <c r="G679" s="5">
        <v>88</v>
      </c>
      <c r="H679" s="5">
        <v>60</v>
      </c>
      <c r="I679" s="6" t="str">
        <f t="shared" si="30"/>
        <v/>
      </c>
      <c r="J679">
        <f t="shared" si="31"/>
        <v>75.050000000000011</v>
      </c>
      <c r="K679" s="4" t="str">
        <f t="shared" si="32"/>
        <v>C</v>
      </c>
      <c r="L679">
        <f>IF(Helper!$E$3="All",1,IF(C679=Helper!$E$3,1,0))</f>
        <v>1</v>
      </c>
    </row>
    <row r="680" spans="1:12" x14ac:dyDescent="0.3">
      <c r="A680" s="3" t="s">
        <v>646</v>
      </c>
      <c r="B680" s="3" t="s">
        <v>645</v>
      </c>
      <c r="C680" s="3" t="s">
        <v>17</v>
      </c>
      <c r="D680" s="7">
        <v>0.77</v>
      </c>
      <c r="E680" s="5">
        <v>68</v>
      </c>
      <c r="F680" s="5">
        <v>87</v>
      </c>
      <c r="G680" s="5">
        <v>93</v>
      </c>
      <c r="H680" s="5">
        <v>100</v>
      </c>
      <c r="I680" s="6" t="str">
        <f t="shared" si="30"/>
        <v/>
      </c>
      <c r="J680">
        <f t="shared" si="31"/>
        <v>94.95</v>
      </c>
      <c r="K680" s="4" t="str">
        <f t="shared" si="32"/>
        <v>A</v>
      </c>
      <c r="L680">
        <f>IF(Helper!$E$3="All",1,IF(C680=Helper!$E$3,1,0))</f>
        <v>1</v>
      </c>
    </row>
    <row r="681" spans="1:12" x14ac:dyDescent="0.3">
      <c r="A681" s="3" t="s">
        <v>644</v>
      </c>
      <c r="B681" s="3" t="s">
        <v>643</v>
      </c>
      <c r="C681" s="3" t="s">
        <v>17</v>
      </c>
      <c r="D681" s="7">
        <v>0.9</v>
      </c>
      <c r="E681" s="5">
        <v>70</v>
      </c>
      <c r="F681" s="5">
        <v>60</v>
      </c>
      <c r="G681" s="5">
        <v>93</v>
      </c>
      <c r="H681" s="5">
        <v>48</v>
      </c>
      <c r="I681" s="6">
        <f t="shared" si="30"/>
        <v>-45</v>
      </c>
      <c r="J681">
        <f t="shared" si="31"/>
        <v>72.900000000000006</v>
      </c>
      <c r="K681" s="4" t="str">
        <f t="shared" si="32"/>
        <v>C</v>
      </c>
      <c r="L681">
        <f>IF(Helper!$E$3="All",1,IF(C681=Helper!$E$3,1,0))</f>
        <v>1</v>
      </c>
    </row>
    <row r="682" spans="1:12" x14ac:dyDescent="0.3">
      <c r="A682" s="3" t="s">
        <v>642</v>
      </c>
      <c r="B682" s="3" t="s">
        <v>641</v>
      </c>
      <c r="C682" s="3" t="s">
        <v>3</v>
      </c>
      <c r="D682" s="7">
        <v>0.89</v>
      </c>
      <c r="E682" s="5">
        <v>86</v>
      </c>
      <c r="F682" s="5">
        <v>67</v>
      </c>
      <c r="G682" s="5">
        <v>49</v>
      </c>
      <c r="H682" s="5">
        <v>45</v>
      </c>
      <c r="I682" s="6" t="str">
        <f t="shared" si="30"/>
        <v/>
      </c>
      <c r="J682">
        <f t="shared" si="31"/>
        <v>55.25</v>
      </c>
      <c r="K682" s="4" t="str">
        <f t="shared" si="32"/>
        <v>F</v>
      </c>
      <c r="L682">
        <f>IF(Helper!$E$3="All",1,IF(C682=Helper!$E$3,1,0))</f>
        <v>1</v>
      </c>
    </row>
    <row r="683" spans="1:12" x14ac:dyDescent="0.3">
      <c r="A683" s="3" t="s">
        <v>640</v>
      </c>
      <c r="B683" s="3" t="s">
        <v>639</v>
      </c>
      <c r="C683" s="3" t="s">
        <v>8</v>
      </c>
      <c r="D683" s="7">
        <v>0.98</v>
      </c>
      <c r="E683" s="5">
        <v>96</v>
      </c>
      <c r="F683" s="5">
        <v>95</v>
      </c>
      <c r="G683" s="5">
        <v>92</v>
      </c>
      <c r="H683" s="5">
        <v>90</v>
      </c>
      <c r="I683" s="6" t="str">
        <f t="shared" si="30"/>
        <v/>
      </c>
      <c r="J683">
        <f t="shared" si="31"/>
        <v>92.350000000000009</v>
      </c>
      <c r="K683" s="4" t="str">
        <f t="shared" si="32"/>
        <v>A</v>
      </c>
      <c r="L683">
        <f>IF(Helper!$E$3="All",1,IF(C683=Helper!$E$3,1,0))</f>
        <v>1</v>
      </c>
    </row>
    <row r="684" spans="1:12" x14ac:dyDescent="0.3">
      <c r="A684" s="3" t="s">
        <v>638</v>
      </c>
      <c r="B684" s="3" t="s">
        <v>637</v>
      </c>
      <c r="C684" s="3" t="s">
        <v>0</v>
      </c>
      <c r="D684" s="7">
        <v>0.94000000000000006</v>
      </c>
      <c r="E684" s="5">
        <v>94</v>
      </c>
      <c r="F684" s="5">
        <v>65</v>
      </c>
      <c r="G684" s="5">
        <v>83</v>
      </c>
      <c r="H684" s="5">
        <v>84</v>
      </c>
      <c r="I684" s="6" t="str">
        <f t="shared" si="30"/>
        <v/>
      </c>
      <c r="J684">
        <f t="shared" si="31"/>
        <v>84.75</v>
      </c>
      <c r="K684" s="4" t="str">
        <f t="shared" si="32"/>
        <v>B</v>
      </c>
      <c r="L684">
        <f>IF(Helper!$E$3="All",1,IF(C684=Helper!$E$3,1,0))</f>
        <v>1</v>
      </c>
    </row>
    <row r="685" spans="1:12" x14ac:dyDescent="0.3">
      <c r="A685" s="3" t="s">
        <v>636</v>
      </c>
      <c r="B685" s="3" t="s">
        <v>635</v>
      </c>
      <c r="C685" s="3" t="s">
        <v>3</v>
      </c>
      <c r="D685" s="7">
        <v>0.77</v>
      </c>
      <c r="E685" s="5">
        <v>55</v>
      </c>
      <c r="F685" s="5">
        <v>72</v>
      </c>
      <c r="G685" s="5">
        <v>86</v>
      </c>
      <c r="H685" s="5">
        <v>74</v>
      </c>
      <c r="I685" s="6" t="str">
        <f t="shared" si="30"/>
        <v/>
      </c>
      <c r="J685">
        <f t="shared" si="31"/>
        <v>80.349999999999994</v>
      </c>
      <c r="K685" s="4" t="str">
        <f t="shared" si="32"/>
        <v>B</v>
      </c>
      <c r="L685">
        <f>IF(Helper!$E$3="All",1,IF(C685=Helper!$E$3,1,0))</f>
        <v>1</v>
      </c>
    </row>
    <row r="686" spans="1:12" x14ac:dyDescent="0.3">
      <c r="A686" s="3" t="s">
        <v>634</v>
      </c>
      <c r="B686" s="3" t="s">
        <v>633</v>
      </c>
      <c r="C686" s="3" t="s">
        <v>8</v>
      </c>
      <c r="D686" s="7">
        <v>0.98</v>
      </c>
      <c r="E686" s="5">
        <v>81</v>
      </c>
      <c r="F686" s="5">
        <v>60</v>
      </c>
      <c r="G686" s="5">
        <v>92</v>
      </c>
      <c r="H686" s="5">
        <v>78</v>
      </c>
      <c r="I686" s="6" t="str">
        <f t="shared" si="30"/>
        <v/>
      </c>
      <c r="J686">
        <f t="shared" si="31"/>
        <v>85.050000000000011</v>
      </c>
      <c r="K686" s="4" t="str">
        <f t="shared" si="32"/>
        <v>B</v>
      </c>
      <c r="L686">
        <f>IF(Helper!$E$3="All",1,IF(C686=Helper!$E$3,1,0))</f>
        <v>1</v>
      </c>
    </row>
    <row r="687" spans="1:12" x14ac:dyDescent="0.3">
      <c r="A687" s="3" t="s">
        <v>632</v>
      </c>
      <c r="B687" s="3" t="s">
        <v>631</v>
      </c>
      <c r="C687" s="3" t="s">
        <v>17</v>
      </c>
      <c r="D687" s="7">
        <v>0.76</v>
      </c>
      <c r="E687" s="5">
        <v>69</v>
      </c>
      <c r="F687" s="5">
        <v>74</v>
      </c>
      <c r="G687" s="5">
        <v>49</v>
      </c>
      <c r="H687" s="5">
        <v>61</v>
      </c>
      <c r="I687" s="6">
        <f t="shared" si="30"/>
        <v>12</v>
      </c>
      <c r="J687">
        <f t="shared" si="31"/>
        <v>61.15</v>
      </c>
      <c r="K687" s="4" t="str">
        <f t="shared" si="32"/>
        <v>D</v>
      </c>
      <c r="L687">
        <f>IF(Helper!$E$3="All",1,IF(C687=Helper!$E$3,1,0))</f>
        <v>1</v>
      </c>
    </row>
    <row r="688" spans="1:12" x14ac:dyDescent="0.3">
      <c r="A688" s="3" t="s">
        <v>630</v>
      </c>
      <c r="B688" s="3" t="s">
        <v>629</v>
      </c>
      <c r="C688" s="3" t="s">
        <v>17</v>
      </c>
      <c r="D688" s="7">
        <v>0.73</v>
      </c>
      <c r="E688" s="5">
        <v>96</v>
      </c>
      <c r="F688" s="5">
        <v>91</v>
      </c>
      <c r="G688" s="5">
        <v>85</v>
      </c>
      <c r="H688" s="5">
        <v>80</v>
      </c>
      <c r="I688" s="6" t="str">
        <f t="shared" si="30"/>
        <v/>
      </c>
      <c r="J688">
        <f t="shared" si="31"/>
        <v>85.35</v>
      </c>
      <c r="K688" s="4" t="str">
        <f t="shared" si="32"/>
        <v>B</v>
      </c>
      <c r="L688">
        <f>IF(Helper!$E$3="All",1,IF(C688=Helper!$E$3,1,0))</f>
        <v>1</v>
      </c>
    </row>
    <row r="689" spans="1:12" x14ac:dyDescent="0.3">
      <c r="A689" s="3" t="s">
        <v>628</v>
      </c>
      <c r="B689" s="3" t="s">
        <v>627</v>
      </c>
      <c r="C689" s="3" t="s">
        <v>8</v>
      </c>
      <c r="D689" s="7">
        <v>0.9</v>
      </c>
      <c r="E689" s="5">
        <v>94</v>
      </c>
      <c r="F689" s="5">
        <v>73</v>
      </c>
      <c r="G689" s="5">
        <v>52</v>
      </c>
      <c r="H689" s="5">
        <v>93</v>
      </c>
      <c r="I689" s="6">
        <f t="shared" si="30"/>
        <v>41</v>
      </c>
      <c r="J689">
        <f t="shared" si="31"/>
        <v>76.349999999999994</v>
      </c>
      <c r="K689" s="4" t="str">
        <f t="shared" si="32"/>
        <v>C</v>
      </c>
      <c r="L689">
        <f>IF(Helper!$E$3="All",1,IF(C689=Helper!$E$3,1,0))</f>
        <v>1</v>
      </c>
    </row>
    <row r="690" spans="1:12" x14ac:dyDescent="0.3">
      <c r="A690" s="3" t="s">
        <v>626</v>
      </c>
      <c r="B690" s="3" t="s">
        <v>625</v>
      </c>
      <c r="C690" s="3" t="s">
        <v>0</v>
      </c>
      <c r="D690" s="7">
        <v>0.83000000000000007</v>
      </c>
      <c r="E690" s="5">
        <v>55</v>
      </c>
      <c r="F690" s="5">
        <v>80</v>
      </c>
      <c r="G690" s="5">
        <v>76</v>
      </c>
      <c r="H690" s="5">
        <v>44</v>
      </c>
      <c r="I690" s="6">
        <f t="shared" si="30"/>
        <v>-32</v>
      </c>
      <c r="J690">
        <f t="shared" si="31"/>
        <v>64.75</v>
      </c>
      <c r="K690" s="4" t="str">
        <f t="shared" si="32"/>
        <v>D</v>
      </c>
      <c r="L690">
        <f>IF(Helper!$E$3="All",1,IF(C690=Helper!$E$3,1,0))</f>
        <v>1</v>
      </c>
    </row>
    <row r="691" spans="1:12" x14ac:dyDescent="0.3">
      <c r="A691" s="3" t="s">
        <v>624</v>
      </c>
      <c r="B691" s="3" t="s">
        <v>623</v>
      </c>
      <c r="C691" s="3" t="s">
        <v>17</v>
      </c>
      <c r="D691" s="7">
        <v>0.94000000000000006</v>
      </c>
      <c r="E691" s="5">
        <v>51</v>
      </c>
      <c r="F691" s="5">
        <v>90</v>
      </c>
      <c r="G691" s="5">
        <v>77</v>
      </c>
      <c r="H691" s="5">
        <v>81</v>
      </c>
      <c r="I691" s="6" t="str">
        <f t="shared" si="30"/>
        <v/>
      </c>
      <c r="J691">
        <f t="shared" si="31"/>
        <v>80.25</v>
      </c>
      <c r="K691" s="4" t="str">
        <f t="shared" si="32"/>
        <v>B</v>
      </c>
      <c r="L691">
        <f>IF(Helper!$E$3="All",1,IF(C691=Helper!$E$3,1,0))</f>
        <v>1</v>
      </c>
    </row>
    <row r="692" spans="1:12" x14ac:dyDescent="0.3">
      <c r="A692" s="3" t="s">
        <v>622</v>
      </c>
      <c r="B692" s="3" t="s">
        <v>621</v>
      </c>
      <c r="C692" s="3" t="s">
        <v>17</v>
      </c>
      <c r="D692" s="7">
        <v>0.93</v>
      </c>
      <c r="E692" s="5">
        <v>56</v>
      </c>
      <c r="F692" s="5">
        <v>86</v>
      </c>
      <c r="G692" s="5">
        <v>63</v>
      </c>
      <c r="H692" s="5">
        <v>62</v>
      </c>
      <c r="I692" s="6" t="str">
        <f t="shared" si="30"/>
        <v/>
      </c>
      <c r="J692">
        <f t="shared" si="31"/>
        <v>67.099999999999994</v>
      </c>
      <c r="K692" s="4" t="str">
        <f t="shared" si="32"/>
        <v>D</v>
      </c>
      <c r="L692">
        <f>IF(Helper!$E$3="All",1,IF(C692=Helper!$E$3,1,0))</f>
        <v>1</v>
      </c>
    </row>
    <row r="693" spans="1:12" x14ac:dyDescent="0.3">
      <c r="A693" s="3" t="s">
        <v>620</v>
      </c>
      <c r="B693" s="3" t="s">
        <v>619</v>
      </c>
      <c r="C693" s="3" t="s">
        <v>17</v>
      </c>
      <c r="D693" s="7">
        <v>0.62</v>
      </c>
      <c r="E693" s="5">
        <v>55</v>
      </c>
      <c r="F693" s="5">
        <v>57</v>
      </c>
      <c r="G693" s="5">
        <v>41</v>
      </c>
      <c r="H693" s="5">
        <v>56</v>
      </c>
      <c r="I693" s="6">
        <f t="shared" si="30"/>
        <v>15</v>
      </c>
      <c r="J693">
        <f t="shared" si="31"/>
        <v>44.400000000000006</v>
      </c>
      <c r="K693" s="4" t="str">
        <f t="shared" si="32"/>
        <v>F</v>
      </c>
      <c r="L693">
        <f>IF(Helper!$E$3="All",1,IF(C693=Helper!$E$3,1,0))</f>
        <v>1</v>
      </c>
    </row>
    <row r="694" spans="1:12" x14ac:dyDescent="0.3">
      <c r="A694" s="3" t="s">
        <v>618</v>
      </c>
      <c r="B694" s="3" t="s">
        <v>617</v>
      </c>
      <c r="C694" s="3" t="s">
        <v>8</v>
      </c>
      <c r="D694" s="7">
        <v>0.96</v>
      </c>
      <c r="E694" s="5">
        <v>51</v>
      </c>
      <c r="F694" s="5">
        <v>97</v>
      </c>
      <c r="G694" s="5">
        <v>61</v>
      </c>
      <c r="H694" s="5">
        <v>51</v>
      </c>
      <c r="I694" s="6" t="str">
        <f t="shared" si="30"/>
        <v/>
      </c>
      <c r="J694">
        <f t="shared" si="31"/>
        <v>62.199999999999996</v>
      </c>
      <c r="K694" s="4" t="str">
        <f t="shared" si="32"/>
        <v>D</v>
      </c>
      <c r="L694">
        <f>IF(Helper!$E$3="All",1,IF(C694=Helper!$E$3,1,0))</f>
        <v>1</v>
      </c>
    </row>
    <row r="695" spans="1:12" x14ac:dyDescent="0.3">
      <c r="A695" s="3" t="s">
        <v>616</v>
      </c>
      <c r="B695" s="3" t="s">
        <v>615</v>
      </c>
      <c r="C695" s="3" t="s">
        <v>3</v>
      </c>
      <c r="D695" s="7">
        <v>0.99</v>
      </c>
      <c r="E695" s="5">
        <v>47</v>
      </c>
      <c r="F695" s="5">
        <v>50</v>
      </c>
      <c r="G695" s="5">
        <v>56</v>
      </c>
      <c r="H695" s="5">
        <v>62</v>
      </c>
      <c r="I695" s="6" t="str">
        <f t="shared" si="30"/>
        <v/>
      </c>
      <c r="J695">
        <f t="shared" si="31"/>
        <v>62.05</v>
      </c>
      <c r="K695" s="4" t="str">
        <f t="shared" si="32"/>
        <v>D</v>
      </c>
      <c r="L695">
        <f>IF(Helper!$E$3="All",1,IF(C695=Helper!$E$3,1,0))</f>
        <v>1</v>
      </c>
    </row>
    <row r="696" spans="1:12" x14ac:dyDescent="0.3">
      <c r="A696" s="3" t="s">
        <v>614</v>
      </c>
      <c r="B696" s="3" t="s">
        <v>613</v>
      </c>
      <c r="C696" s="3" t="s">
        <v>17</v>
      </c>
      <c r="D696" s="7">
        <v>0.85</v>
      </c>
      <c r="E696" s="5">
        <v>59</v>
      </c>
      <c r="F696" s="5">
        <v>96</v>
      </c>
      <c r="G696" s="5">
        <v>75</v>
      </c>
      <c r="H696" s="5">
        <v>55</v>
      </c>
      <c r="I696" s="6" t="str">
        <f t="shared" si="30"/>
        <v/>
      </c>
      <c r="J696">
        <f t="shared" si="31"/>
        <v>69.75</v>
      </c>
      <c r="K696" s="4" t="str">
        <f t="shared" si="32"/>
        <v>D</v>
      </c>
      <c r="L696">
        <f>IF(Helper!$E$3="All",1,IF(C696=Helper!$E$3,1,0))</f>
        <v>1</v>
      </c>
    </row>
    <row r="697" spans="1:12" x14ac:dyDescent="0.3">
      <c r="A697" s="3" t="s">
        <v>612</v>
      </c>
      <c r="B697" s="3" t="s">
        <v>611</v>
      </c>
      <c r="C697" s="3" t="s">
        <v>3</v>
      </c>
      <c r="D697" s="7">
        <v>0.82000000000000006</v>
      </c>
      <c r="E697" s="5">
        <v>42</v>
      </c>
      <c r="F697" s="5">
        <v>62</v>
      </c>
      <c r="G697" s="5">
        <v>53</v>
      </c>
      <c r="H697" s="5">
        <v>42</v>
      </c>
      <c r="I697" s="6" t="str">
        <f t="shared" si="30"/>
        <v/>
      </c>
      <c r="J697">
        <f t="shared" si="31"/>
        <v>53.2</v>
      </c>
      <c r="K697" s="4" t="str">
        <f t="shared" si="32"/>
        <v>F</v>
      </c>
      <c r="L697">
        <f>IF(Helper!$E$3="All",1,IF(C697=Helper!$E$3,1,0))</f>
        <v>1</v>
      </c>
    </row>
    <row r="698" spans="1:12" x14ac:dyDescent="0.3">
      <c r="A698" s="3" t="s">
        <v>610</v>
      </c>
      <c r="B698" s="3" t="s">
        <v>609</v>
      </c>
      <c r="C698" s="3" t="s">
        <v>0</v>
      </c>
      <c r="D698" s="7">
        <v>0.98</v>
      </c>
      <c r="E698" s="5">
        <v>55</v>
      </c>
      <c r="F698" s="5">
        <v>87</v>
      </c>
      <c r="G698" s="5">
        <v>49</v>
      </c>
      <c r="H698" s="5">
        <v>69</v>
      </c>
      <c r="I698" s="6">
        <f t="shared" si="30"/>
        <v>20</v>
      </c>
      <c r="J698">
        <f t="shared" si="31"/>
        <v>64.3</v>
      </c>
      <c r="K698" s="4" t="str">
        <f t="shared" si="32"/>
        <v>D</v>
      </c>
      <c r="L698">
        <f>IF(Helper!$E$3="All",1,IF(C698=Helper!$E$3,1,0))</f>
        <v>1</v>
      </c>
    </row>
    <row r="699" spans="1:12" x14ac:dyDescent="0.3">
      <c r="A699" s="3" t="s">
        <v>608</v>
      </c>
      <c r="B699" s="3" t="s">
        <v>607</v>
      </c>
      <c r="C699" s="3" t="s">
        <v>17</v>
      </c>
      <c r="D699" s="7">
        <v>0.74</v>
      </c>
      <c r="E699" s="5">
        <v>69</v>
      </c>
      <c r="F699" s="5">
        <v>61</v>
      </c>
      <c r="G699" s="5">
        <v>74</v>
      </c>
      <c r="H699" s="5">
        <v>96</v>
      </c>
      <c r="I699" s="6">
        <f t="shared" si="30"/>
        <v>22</v>
      </c>
      <c r="J699">
        <f t="shared" si="31"/>
        <v>84.5</v>
      </c>
      <c r="K699" s="4" t="str">
        <f t="shared" si="32"/>
        <v>B</v>
      </c>
      <c r="L699">
        <f>IF(Helper!$E$3="All",1,IF(C699=Helper!$E$3,1,0))</f>
        <v>1</v>
      </c>
    </row>
    <row r="700" spans="1:12" x14ac:dyDescent="0.3">
      <c r="A700" s="3" t="s">
        <v>606</v>
      </c>
      <c r="B700" s="3" t="s">
        <v>605</v>
      </c>
      <c r="C700" s="3" t="s">
        <v>17</v>
      </c>
      <c r="D700" s="7">
        <v>0.63</v>
      </c>
      <c r="E700" s="5">
        <v>84</v>
      </c>
      <c r="F700" s="5">
        <v>56</v>
      </c>
      <c r="G700" s="5">
        <v>64</v>
      </c>
      <c r="H700" s="5">
        <v>61</v>
      </c>
      <c r="I700" s="6" t="str">
        <f t="shared" si="30"/>
        <v/>
      </c>
      <c r="J700">
        <f t="shared" si="31"/>
        <v>57</v>
      </c>
      <c r="K700" s="4" t="str">
        <f t="shared" si="32"/>
        <v>F</v>
      </c>
      <c r="L700">
        <f>IF(Helper!$E$3="All",1,IF(C700=Helper!$E$3,1,0))</f>
        <v>1</v>
      </c>
    </row>
    <row r="701" spans="1:12" x14ac:dyDescent="0.3">
      <c r="A701" s="3" t="s">
        <v>604</v>
      </c>
      <c r="B701" s="3" t="s">
        <v>603</v>
      </c>
      <c r="C701" s="3" t="s">
        <v>0</v>
      </c>
      <c r="D701" s="7">
        <v>0.88</v>
      </c>
      <c r="E701" s="5">
        <v>62</v>
      </c>
      <c r="F701" s="5">
        <v>44</v>
      </c>
      <c r="G701" s="5">
        <v>42</v>
      </c>
      <c r="H701" s="5">
        <v>48</v>
      </c>
      <c r="I701" s="6" t="str">
        <f t="shared" si="30"/>
        <v/>
      </c>
      <c r="J701">
        <f t="shared" si="31"/>
        <v>51.3</v>
      </c>
      <c r="K701" s="4" t="str">
        <f t="shared" si="32"/>
        <v>F</v>
      </c>
      <c r="L701">
        <f>IF(Helper!$E$3="All",1,IF(C701=Helper!$E$3,1,0))</f>
        <v>1</v>
      </c>
    </row>
    <row r="702" spans="1:12" x14ac:dyDescent="0.3">
      <c r="A702" s="3" t="s">
        <v>602</v>
      </c>
      <c r="B702" s="3" t="s">
        <v>601</v>
      </c>
      <c r="C702" s="3" t="s">
        <v>17</v>
      </c>
      <c r="D702" s="7">
        <v>0.81</v>
      </c>
      <c r="E702" s="5">
        <v>67</v>
      </c>
      <c r="F702" s="5">
        <v>83</v>
      </c>
      <c r="G702" s="5">
        <v>86</v>
      </c>
      <c r="H702" s="5">
        <v>68</v>
      </c>
      <c r="I702" s="6" t="str">
        <f t="shared" si="30"/>
        <v/>
      </c>
      <c r="J702">
        <f t="shared" si="31"/>
        <v>79.099999999999994</v>
      </c>
      <c r="K702" s="4" t="str">
        <f t="shared" si="32"/>
        <v>C</v>
      </c>
      <c r="L702">
        <f>IF(Helper!$E$3="All",1,IF(C702=Helper!$E$3,1,0))</f>
        <v>1</v>
      </c>
    </row>
    <row r="703" spans="1:12" x14ac:dyDescent="0.3">
      <c r="A703" s="3" t="s">
        <v>600</v>
      </c>
      <c r="B703" s="3" t="s">
        <v>599</v>
      </c>
      <c r="C703" s="3" t="s">
        <v>3</v>
      </c>
      <c r="D703" s="7">
        <v>0.84</v>
      </c>
      <c r="E703" s="5">
        <v>90</v>
      </c>
      <c r="F703" s="5">
        <v>50</v>
      </c>
      <c r="G703" s="5">
        <v>77</v>
      </c>
      <c r="H703" s="5">
        <v>86</v>
      </c>
      <c r="I703" s="6" t="str">
        <f t="shared" si="30"/>
        <v/>
      </c>
      <c r="J703">
        <f t="shared" si="31"/>
        <v>82.199999999999989</v>
      </c>
      <c r="K703" s="4" t="str">
        <f t="shared" si="32"/>
        <v>B</v>
      </c>
      <c r="L703">
        <f>IF(Helper!$E$3="All",1,IF(C703=Helper!$E$3,1,0))</f>
        <v>1</v>
      </c>
    </row>
    <row r="704" spans="1:12" x14ac:dyDescent="0.3">
      <c r="A704" s="3" t="s">
        <v>598</v>
      </c>
      <c r="B704" s="3" t="s">
        <v>597</v>
      </c>
      <c r="C704" s="3" t="s">
        <v>8</v>
      </c>
      <c r="D704" s="7">
        <v>0.72</v>
      </c>
      <c r="E704" s="5">
        <v>79</v>
      </c>
      <c r="F704" s="5">
        <v>69</v>
      </c>
      <c r="G704" s="5">
        <v>56</v>
      </c>
      <c r="H704" s="5">
        <v>76</v>
      </c>
      <c r="I704" s="6">
        <f t="shared" si="30"/>
        <v>20</v>
      </c>
      <c r="J704">
        <f t="shared" si="31"/>
        <v>70.199999999999989</v>
      </c>
      <c r="K704" s="4" t="str">
        <f t="shared" si="32"/>
        <v>C</v>
      </c>
      <c r="L704">
        <f>IF(Helper!$E$3="All",1,IF(C704=Helper!$E$3,1,0))</f>
        <v>1</v>
      </c>
    </row>
    <row r="705" spans="1:12" x14ac:dyDescent="0.3">
      <c r="A705" s="3" t="s">
        <v>596</v>
      </c>
      <c r="B705" s="3" t="s">
        <v>595</v>
      </c>
      <c r="C705" s="3" t="s">
        <v>3</v>
      </c>
      <c r="D705" s="7">
        <v>0.77</v>
      </c>
      <c r="E705" s="5">
        <v>93</v>
      </c>
      <c r="F705" s="5">
        <v>54</v>
      </c>
      <c r="G705" s="5">
        <v>51</v>
      </c>
      <c r="H705" s="5">
        <v>62</v>
      </c>
      <c r="I705" s="6">
        <f t="shared" si="30"/>
        <v>11</v>
      </c>
      <c r="J705">
        <f t="shared" si="31"/>
        <v>62.55</v>
      </c>
      <c r="K705" s="4" t="str">
        <f t="shared" si="32"/>
        <v>D</v>
      </c>
      <c r="L705">
        <f>IF(Helper!$E$3="All",1,IF(C705=Helper!$E$3,1,0))</f>
        <v>1</v>
      </c>
    </row>
    <row r="706" spans="1:12" x14ac:dyDescent="0.3">
      <c r="A706" s="3" t="s">
        <v>594</v>
      </c>
      <c r="B706" s="3" t="s">
        <v>593</v>
      </c>
      <c r="C706" s="3" t="s">
        <v>8</v>
      </c>
      <c r="D706" s="7">
        <v>0.92</v>
      </c>
      <c r="E706" s="5">
        <v>44</v>
      </c>
      <c r="F706" s="5">
        <v>66</v>
      </c>
      <c r="G706" s="5">
        <v>93</v>
      </c>
      <c r="H706" s="5">
        <v>52</v>
      </c>
      <c r="I706" s="6">
        <f t="shared" ref="I706:I769" si="33">IF(H706&gt;G706*1.15,H706-G706,IF(H706&lt;G706*0.65,H706-G706,""))</f>
        <v>-41</v>
      </c>
      <c r="J706">
        <f t="shared" ref="J706:J769" si="34">IF(ISBLANK(D706),"",IF(D706&gt;0.7,10,0)+(E706/100*5)+(F706/100*5)+(G706/100*40)+(H706/100*40))</f>
        <v>73.5</v>
      </c>
      <c r="K706" s="4" t="str">
        <f t="shared" ref="K706:K769" si="35">IF(J706&gt;=90,"A",IF(J706&gt;=80,"B",IF(J706&gt;=70,"C",IF(J706&gt;=60,"D","F"))))</f>
        <v>C</v>
      </c>
      <c r="L706">
        <f>IF(Helper!$E$3="All",1,IF(C706=Helper!$E$3,1,0))</f>
        <v>1</v>
      </c>
    </row>
    <row r="707" spans="1:12" x14ac:dyDescent="0.3">
      <c r="A707" s="3" t="s">
        <v>592</v>
      </c>
      <c r="B707" s="3" t="s">
        <v>591</v>
      </c>
      <c r="C707" s="3" t="s">
        <v>8</v>
      </c>
      <c r="D707" s="7">
        <v>0.75</v>
      </c>
      <c r="E707" s="5">
        <v>59</v>
      </c>
      <c r="F707" s="5">
        <v>74</v>
      </c>
      <c r="G707" s="5">
        <v>91</v>
      </c>
      <c r="H707" s="5">
        <v>71</v>
      </c>
      <c r="I707" s="6" t="str">
        <f t="shared" si="33"/>
        <v/>
      </c>
      <c r="J707">
        <f t="shared" si="34"/>
        <v>81.449999999999989</v>
      </c>
      <c r="K707" s="4" t="str">
        <f t="shared" si="35"/>
        <v>B</v>
      </c>
      <c r="L707">
        <f>IF(Helper!$E$3="All",1,IF(C707=Helper!$E$3,1,0))</f>
        <v>1</v>
      </c>
    </row>
    <row r="708" spans="1:12" x14ac:dyDescent="0.3">
      <c r="A708" s="3" t="s">
        <v>590</v>
      </c>
      <c r="B708" s="3" t="s">
        <v>589</v>
      </c>
      <c r="C708" s="3" t="s">
        <v>3</v>
      </c>
      <c r="D708" s="7">
        <v>0.61</v>
      </c>
      <c r="E708" s="5">
        <v>79</v>
      </c>
      <c r="F708" s="5">
        <v>72</v>
      </c>
      <c r="G708" s="5">
        <v>63</v>
      </c>
      <c r="H708" s="5">
        <v>85</v>
      </c>
      <c r="I708" s="6">
        <f t="shared" si="33"/>
        <v>22</v>
      </c>
      <c r="J708">
        <f t="shared" si="34"/>
        <v>66.75</v>
      </c>
      <c r="K708" s="4" t="str">
        <f t="shared" si="35"/>
        <v>D</v>
      </c>
      <c r="L708">
        <f>IF(Helper!$E$3="All",1,IF(C708=Helper!$E$3,1,0))</f>
        <v>1</v>
      </c>
    </row>
    <row r="709" spans="1:12" x14ac:dyDescent="0.3">
      <c r="A709" s="3" t="s">
        <v>588</v>
      </c>
      <c r="B709" s="3" t="s">
        <v>587</v>
      </c>
      <c r="C709" s="3" t="s">
        <v>3</v>
      </c>
      <c r="D709" s="7">
        <v>0.94000000000000006</v>
      </c>
      <c r="E709" s="5">
        <v>95</v>
      </c>
      <c r="F709" s="5">
        <v>59</v>
      </c>
      <c r="G709" s="5">
        <v>68</v>
      </c>
      <c r="H709" s="5">
        <v>91</v>
      </c>
      <c r="I709" s="6">
        <f t="shared" si="33"/>
        <v>23</v>
      </c>
      <c r="J709">
        <f t="shared" si="34"/>
        <v>81.300000000000011</v>
      </c>
      <c r="K709" s="4" t="str">
        <f t="shared" si="35"/>
        <v>B</v>
      </c>
      <c r="L709">
        <f>IF(Helper!$E$3="All",1,IF(C709=Helper!$E$3,1,0))</f>
        <v>1</v>
      </c>
    </row>
    <row r="710" spans="1:12" x14ac:dyDescent="0.3">
      <c r="A710" s="3" t="s">
        <v>586</v>
      </c>
      <c r="B710" s="3" t="s">
        <v>585</v>
      </c>
      <c r="C710" s="3" t="s">
        <v>3</v>
      </c>
      <c r="D710" s="7">
        <v>0.93</v>
      </c>
      <c r="E710" s="5">
        <v>83</v>
      </c>
      <c r="F710" s="5">
        <v>100</v>
      </c>
      <c r="G710" s="5">
        <v>82</v>
      </c>
      <c r="H710" s="5">
        <v>86</v>
      </c>
      <c r="I710" s="6" t="str">
        <f t="shared" si="33"/>
        <v/>
      </c>
      <c r="J710">
        <f t="shared" si="34"/>
        <v>86.35</v>
      </c>
      <c r="K710" s="4" t="str">
        <f t="shared" si="35"/>
        <v>B</v>
      </c>
      <c r="L710">
        <f>IF(Helper!$E$3="All",1,IF(C710=Helper!$E$3,1,0))</f>
        <v>1</v>
      </c>
    </row>
    <row r="711" spans="1:12" x14ac:dyDescent="0.3">
      <c r="A711" s="3" t="s">
        <v>584</v>
      </c>
      <c r="B711" s="3" t="s">
        <v>583</v>
      </c>
      <c r="C711" s="3" t="s">
        <v>3</v>
      </c>
      <c r="D711" s="7">
        <v>0.89</v>
      </c>
      <c r="E711" s="5">
        <v>40</v>
      </c>
      <c r="F711" s="5">
        <v>55</v>
      </c>
      <c r="G711" s="5">
        <v>64</v>
      </c>
      <c r="H711" s="5">
        <v>87</v>
      </c>
      <c r="I711" s="6">
        <f t="shared" si="33"/>
        <v>23</v>
      </c>
      <c r="J711">
        <f t="shared" si="34"/>
        <v>75.150000000000006</v>
      </c>
      <c r="K711" s="4" t="str">
        <f t="shared" si="35"/>
        <v>C</v>
      </c>
      <c r="L711">
        <f>IF(Helper!$E$3="All",1,IF(C711=Helper!$E$3,1,0))</f>
        <v>1</v>
      </c>
    </row>
    <row r="712" spans="1:12" x14ac:dyDescent="0.3">
      <c r="A712" s="3" t="s">
        <v>582</v>
      </c>
      <c r="B712" s="3" t="s">
        <v>581</v>
      </c>
      <c r="C712" s="3" t="s">
        <v>0</v>
      </c>
      <c r="D712" s="7">
        <v>0.72</v>
      </c>
      <c r="E712" s="5">
        <v>96</v>
      </c>
      <c r="F712" s="5">
        <v>73</v>
      </c>
      <c r="G712" s="5">
        <v>75</v>
      </c>
      <c r="H712" s="5">
        <v>62</v>
      </c>
      <c r="I712" s="6" t="str">
        <f t="shared" si="33"/>
        <v/>
      </c>
      <c r="J712">
        <f t="shared" si="34"/>
        <v>73.25</v>
      </c>
      <c r="K712" s="4" t="str">
        <f t="shared" si="35"/>
        <v>C</v>
      </c>
      <c r="L712">
        <f>IF(Helper!$E$3="All",1,IF(C712=Helper!$E$3,1,0))</f>
        <v>1</v>
      </c>
    </row>
    <row r="713" spans="1:12" x14ac:dyDescent="0.3">
      <c r="A713" s="3" t="s">
        <v>580</v>
      </c>
      <c r="B713" s="3" t="s">
        <v>579</v>
      </c>
      <c r="C713" s="3" t="s">
        <v>17</v>
      </c>
      <c r="D713" s="7">
        <v>0.72</v>
      </c>
      <c r="E713" s="5">
        <v>69</v>
      </c>
      <c r="F713" s="5">
        <v>41</v>
      </c>
      <c r="G713" s="5">
        <v>97</v>
      </c>
      <c r="H713" s="5">
        <v>84</v>
      </c>
      <c r="I713" s="6" t="str">
        <f t="shared" si="33"/>
        <v/>
      </c>
      <c r="J713">
        <f t="shared" si="34"/>
        <v>87.9</v>
      </c>
      <c r="K713" s="4" t="str">
        <f t="shared" si="35"/>
        <v>B</v>
      </c>
      <c r="L713">
        <f>IF(Helper!$E$3="All",1,IF(C713=Helper!$E$3,1,0))</f>
        <v>1</v>
      </c>
    </row>
    <row r="714" spans="1:12" x14ac:dyDescent="0.3">
      <c r="A714" s="3" t="s">
        <v>578</v>
      </c>
      <c r="B714" s="3" t="s">
        <v>577</v>
      </c>
      <c r="C714" s="3" t="s">
        <v>8</v>
      </c>
      <c r="D714" s="7">
        <v>0.77</v>
      </c>
      <c r="E714" s="5">
        <v>60</v>
      </c>
      <c r="F714" s="5">
        <v>74</v>
      </c>
      <c r="G714" s="5">
        <v>99</v>
      </c>
      <c r="H714" s="5">
        <v>56</v>
      </c>
      <c r="I714" s="6">
        <f t="shared" si="33"/>
        <v>-43</v>
      </c>
      <c r="J714">
        <f t="shared" si="34"/>
        <v>78.7</v>
      </c>
      <c r="K714" s="4" t="str">
        <f t="shared" si="35"/>
        <v>C</v>
      </c>
      <c r="L714">
        <f>IF(Helper!$E$3="All",1,IF(C714=Helper!$E$3,1,0))</f>
        <v>1</v>
      </c>
    </row>
    <row r="715" spans="1:12" x14ac:dyDescent="0.3">
      <c r="A715" s="3" t="s">
        <v>576</v>
      </c>
      <c r="B715" s="3" t="s">
        <v>575</v>
      </c>
      <c r="C715" s="3" t="s">
        <v>3</v>
      </c>
      <c r="D715" s="7">
        <v>0.91</v>
      </c>
      <c r="E715" s="5">
        <v>59</v>
      </c>
      <c r="F715" s="5">
        <v>79</v>
      </c>
      <c r="G715" s="5">
        <v>65</v>
      </c>
      <c r="H715" s="5">
        <v>94</v>
      </c>
      <c r="I715" s="6">
        <f t="shared" si="33"/>
        <v>29</v>
      </c>
      <c r="J715">
        <f t="shared" si="34"/>
        <v>80.5</v>
      </c>
      <c r="K715" s="4" t="str">
        <f t="shared" si="35"/>
        <v>B</v>
      </c>
      <c r="L715">
        <f>IF(Helper!$E$3="All",1,IF(C715=Helper!$E$3,1,0))</f>
        <v>1</v>
      </c>
    </row>
    <row r="716" spans="1:12" x14ac:dyDescent="0.3">
      <c r="A716" s="3" t="s">
        <v>574</v>
      </c>
      <c r="B716" s="3" t="s">
        <v>573</v>
      </c>
      <c r="C716" s="3" t="s">
        <v>3</v>
      </c>
      <c r="D716" s="7">
        <v>0.91</v>
      </c>
      <c r="E716" s="5">
        <v>45</v>
      </c>
      <c r="F716" s="5">
        <v>95</v>
      </c>
      <c r="G716" s="5">
        <v>77</v>
      </c>
      <c r="H716" s="5">
        <v>79</v>
      </c>
      <c r="I716" s="6" t="str">
        <f t="shared" si="33"/>
        <v/>
      </c>
      <c r="J716">
        <f t="shared" si="34"/>
        <v>79.400000000000006</v>
      </c>
      <c r="K716" s="4" t="str">
        <f t="shared" si="35"/>
        <v>C</v>
      </c>
      <c r="L716">
        <f>IF(Helper!$E$3="All",1,IF(C716=Helper!$E$3,1,0))</f>
        <v>1</v>
      </c>
    </row>
    <row r="717" spans="1:12" x14ac:dyDescent="0.3">
      <c r="A717" s="3" t="s">
        <v>572</v>
      </c>
      <c r="B717" s="3" t="s">
        <v>571</v>
      </c>
      <c r="C717" s="3" t="s">
        <v>3</v>
      </c>
      <c r="D717" s="7">
        <v>0.94000000000000006</v>
      </c>
      <c r="E717" s="5">
        <v>61</v>
      </c>
      <c r="F717" s="5">
        <v>67</v>
      </c>
      <c r="G717" s="5">
        <v>40</v>
      </c>
      <c r="H717" s="5">
        <v>60</v>
      </c>
      <c r="I717" s="6">
        <f t="shared" si="33"/>
        <v>20</v>
      </c>
      <c r="J717">
        <f t="shared" si="34"/>
        <v>56.400000000000006</v>
      </c>
      <c r="K717" s="4" t="str">
        <f t="shared" si="35"/>
        <v>F</v>
      </c>
      <c r="L717">
        <f>IF(Helper!$E$3="All",1,IF(C717=Helper!$E$3,1,0))</f>
        <v>1</v>
      </c>
    </row>
    <row r="718" spans="1:12" x14ac:dyDescent="0.3">
      <c r="A718" s="3" t="s">
        <v>570</v>
      </c>
      <c r="B718" s="3" t="s">
        <v>569</v>
      </c>
      <c r="C718" s="3" t="s">
        <v>0</v>
      </c>
      <c r="D718" s="7">
        <v>0.98</v>
      </c>
      <c r="E718" s="5">
        <v>57</v>
      </c>
      <c r="F718" s="5">
        <v>86</v>
      </c>
      <c r="G718" s="5">
        <v>59</v>
      </c>
      <c r="H718" s="5">
        <v>41</v>
      </c>
      <c r="I718" s="6" t="str">
        <f t="shared" si="33"/>
        <v/>
      </c>
      <c r="J718">
        <f t="shared" si="34"/>
        <v>57.15</v>
      </c>
      <c r="K718" s="4" t="str">
        <f t="shared" si="35"/>
        <v>F</v>
      </c>
      <c r="L718">
        <f>IF(Helper!$E$3="All",1,IF(C718=Helper!$E$3,1,0))</f>
        <v>1</v>
      </c>
    </row>
    <row r="719" spans="1:12" x14ac:dyDescent="0.3">
      <c r="A719" s="3" t="s">
        <v>568</v>
      </c>
      <c r="B719" s="3" t="s">
        <v>567</v>
      </c>
      <c r="C719" s="3" t="s">
        <v>3</v>
      </c>
      <c r="D719" s="7">
        <v>0.88</v>
      </c>
      <c r="E719" s="5">
        <v>47</v>
      </c>
      <c r="F719" s="5">
        <v>78</v>
      </c>
      <c r="G719" s="5">
        <v>94</v>
      </c>
      <c r="H719" s="5">
        <v>76</v>
      </c>
      <c r="I719" s="6" t="str">
        <f t="shared" si="33"/>
        <v/>
      </c>
      <c r="J719">
        <f t="shared" si="34"/>
        <v>84.25</v>
      </c>
      <c r="K719" s="4" t="str">
        <f t="shared" si="35"/>
        <v>B</v>
      </c>
      <c r="L719">
        <f>IF(Helper!$E$3="All",1,IF(C719=Helper!$E$3,1,0))</f>
        <v>1</v>
      </c>
    </row>
    <row r="720" spans="1:12" x14ac:dyDescent="0.3">
      <c r="A720" s="3" t="s">
        <v>566</v>
      </c>
      <c r="B720" s="3" t="s">
        <v>565</v>
      </c>
      <c r="C720" s="3" t="s">
        <v>3</v>
      </c>
      <c r="D720" s="7">
        <v>0.88</v>
      </c>
      <c r="E720" s="5">
        <v>78</v>
      </c>
      <c r="F720" s="5">
        <v>45</v>
      </c>
      <c r="G720" s="5">
        <v>67</v>
      </c>
      <c r="H720" s="5">
        <v>45</v>
      </c>
      <c r="I720" s="6" t="str">
        <f t="shared" si="33"/>
        <v/>
      </c>
      <c r="J720">
        <f t="shared" si="34"/>
        <v>60.95</v>
      </c>
      <c r="K720" s="4" t="str">
        <f t="shared" si="35"/>
        <v>D</v>
      </c>
      <c r="L720">
        <f>IF(Helper!$E$3="All",1,IF(C720=Helper!$E$3,1,0))</f>
        <v>1</v>
      </c>
    </row>
    <row r="721" spans="1:12" x14ac:dyDescent="0.3">
      <c r="A721" s="3" t="s">
        <v>564</v>
      </c>
      <c r="B721" s="3" t="s">
        <v>563</v>
      </c>
      <c r="C721" s="3" t="s">
        <v>3</v>
      </c>
      <c r="D721" s="7">
        <v>0.75</v>
      </c>
      <c r="E721" s="5">
        <v>71</v>
      </c>
      <c r="F721" s="5">
        <v>48</v>
      </c>
      <c r="G721" s="5">
        <v>55</v>
      </c>
      <c r="H721" s="5">
        <v>83</v>
      </c>
      <c r="I721" s="6">
        <f t="shared" si="33"/>
        <v>28</v>
      </c>
      <c r="J721">
        <f t="shared" si="34"/>
        <v>71.150000000000006</v>
      </c>
      <c r="K721" s="4" t="str">
        <f t="shared" si="35"/>
        <v>C</v>
      </c>
      <c r="L721">
        <f>IF(Helper!$E$3="All",1,IF(C721=Helper!$E$3,1,0))</f>
        <v>1</v>
      </c>
    </row>
    <row r="722" spans="1:12" x14ac:dyDescent="0.3">
      <c r="A722" s="3" t="s">
        <v>562</v>
      </c>
      <c r="B722" s="3" t="s">
        <v>561</v>
      </c>
      <c r="C722" s="3" t="s">
        <v>17</v>
      </c>
      <c r="D722" s="7">
        <v>0.69000000000000006</v>
      </c>
      <c r="E722" s="5">
        <v>72</v>
      </c>
      <c r="F722" s="5">
        <v>59</v>
      </c>
      <c r="G722" s="5">
        <v>86</v>
      </c>
      <c r="H722" s="5">
        <v>57</v>
      </c>
      <c r="I722" s="6" t="str">
        <f t="shared" si="33"/>
        <v/>
      </c>
      <c r="J722">
        <f t="shared" si="34"/>
        <v>63.749999999999993</v>
      </c>
      <c r="K722" s="4" t="str">
        <f t="shared" si="35"/>
        <v>D</v>
      </c>
      <c r="L722">
        <f>IF(Helper!$E$3="All",1,IF(C722=Helper!$E$3,1,0))</f>
        <v>1</v>
      </c>
    </row>
    <row r="723" spans="1:12" x14ac:dyDescent="0.3">
      <c r="A723" s="3" t="s">
        <v>560</v>
      </c>
      <c r="B723" s="3" t="s">
        <v>559</v>
      </c>
      <c r="C723" s="3" t="s">
        <v>0</v>
      </c>
      <c r="D723" s="7">
        <v>0.89</v>
      </c>
      <c r="E723" s="5">
        <v>92</v>
      </c>
      <c r="F723" s="5">
        <v>99</v>
      </c>
      <c r="G723" s="5">
        <v>56</v>
      </c>
      <c r="H723" s="5">
        <v>69</v>
      </c>
      <c r="I723" s="6">
        <f t="shared" si="33"/>
        <v>13</v>
      </c>
      <c r="J723">
        <f t="shared" si="34"/>
        <v>69.55</v>
      </c>
      <c r="K723" s="4" t="str">
        <f t="shared" si="35"/>
        <v>D</v>
      </c>
      <c r="L723">
        <f>IF(Helper!$E$3="All",1,IF(C723=Helper!$E$3,1,0))</f>
        <v>1</v>
      </c>
    </row>
    <row r="724" spans="1:12" x14ac:dyDescent="0.3">
      <c r="A724" s="3" t="s">
        <v>558</v>
      </c>
      <c r="B724" s="3" t="s">
        <v>557</v>
      </c>
      <c r="C724" s="3" t="s">
        <v>3</v>
      </c>
      <c r="D724" s="7">
        <v>0.84</v>
      </c>
      <c r="E724" s="5">
        <v>55</v>
      </c>
      <c r="F724" s="5">
        <v>40</v>
      </c>
      <c r="G724" s="5">
        <v>79</v>
      </c>
      <c r="H724" s="5">
        <v>61</v>
      </c>
      <c r="I724" s="6" t="str">
        <f t="shared" si="33"/>
        <v/>
      </c>
      <c r="J724">
        <f t="shared" si="34"/>
        <v>70.75</v>
      </c>
      <c r="K724" s="4" t="str">
        <f t="shared" si="35"/>
        <v>C</v>
      </c>
      <c r="L724">
        <f>IF(Helper!$E$3="All",1,IF(C724=Helper!$E$3,1,0))</f>
        <v>1</v>
      </c>
    </row>
    <row r="725" spans="1:12" x14ac:dyDescent="0.3">
      <c r="A725" s="3" t="s">
        <v>556</v>
      </c>
      <c r="B725" s="3" t="s">
        <v>555</v>
      </c>
      <c r="C725" s="3" t="s">
        <v>8</v>
      </c>
      <c r="D725" s="7">
        <v>0.98</v>
      </c>
      <c r="E725" s="5">
        <v>51</v>
      </c>
      <c r="F725" s="5">
        <v>47</v>
      </c>
      <c r="G725" s="5">
        <v>67</v>
      </c>
      <c r="H725" s="5">
        <v>93</v>
      </c>
      <c r="I725" s="6">
        <f t="shared" si="33"/>
        <v>26</v>
      </c>
      <c r="J725">
        <f t="shared" si="34"/>
        <v>78.900000000000006</v>
      </c>
      <c r="K725" s="4" t="str">
        <f t="shared" si="35"/>
        <v>C</v>
      </c>
      <c r="L725">
        <f>IF(Helper!$E$3="All",1,IF(C725=Helper!$E$3,1,0))</f>
        <v>1</v>
      </c>
    </row>
    <row r="726" spans="1:12" x14ac:dyDescent="0.3">
      <c r="A726" s="3" t="s">
        <v>554</v>
      </c>
      <c r="B726" s="3" t="s">
        <v>553</v>
      </c>
      <c r="C726" s="3" t="s">
        <v>8</v>
      </c>
      <c r="D726" s="7">
        <v>0.79</v>
      </c>
      <c r="E726" s="5">
        <v>77</v>
      </c>
      <c r="F726" s="5">
        <v>94</v>
      </c>
      <c r="G726" s="5">
        <v>97</v>
      </c>
      <c r="H726" s="5">
        <v>72</v>
      </c>
      <c r="I726" s="6" t="str">
        <f t="shared" si="33"/>
        <v/>
      </c>
      <c r="J726">
        <f t="shared" si="34"/>
        <v>86.149999999999991</v>
      </c>
      <c r="K726" s="4" t="str">
        <f t="shared" si="35"/>
        <v>B</v>
      </c>
      <c r="L726">
        <f>IF(Helper!$E$3="All",1,IF(C726=Helper!$E$3,1,0))</f>
        <v>1</v>
      </c>
    </row>
    <row r="727" spans="1:12" x14ac:dyDescent="0.3">
      <c r="A727" s="3" t="s">
        <v>552</v>
      </c>
      <c r="B727" s="3" t="s">
        <v>551</v>
      </c>
      <c r="C727" s="3" t="s">
        <v>8</v>
      </c>
      <c r="D727" s="7">
        <v>0.64</v>
      </c>
      <c r="E727" s="5">
        <v>91</v>
      </c>
      <c r="F727" s="5">
        <v>62</v>
      </c>
      <c r="G727" s="5">
        <v>51</v>
      </c>
      <c r="H727" s="5">
        <v>69</v>
      </c>
      <c r="I727" s="6">
        <f t="shared" si="33"/>
        <v>18</v>
      </c>
      <c r="J727">
        <f t="shared" si="34"/>
        <v>55.649999999999991</v>
      </c>
      <c r="K727" s="4" t="str">
        <f t="shared" si="35"/>
        <v>F</v>
      </c>
      <c r="L727">
        <f>IF(Helper!$E$3="All",1,IF(C727=Helper!$E$3,1,0))</f>
        <v>1</v>
      </c>
    </row>
    <row r="728" spans="1:12" x14ac:dyDescent="0.3">
      <c r="A728" s="3" t="s">
        <v>550</v>
      </c>
      <c r="B728" s="3" t="s">
        <v>549</v>
      </c>
      <c r="C728" s="3" t="s">
        <v>0</v>
      </c>
      <c r="D728" s="7">
        <v>0.6</v>
      </c>
      <c r="E728" s="5">
        <v>73</v>
      </c>
      <c r="F728" s="5">
        <v>42</v>
      </c>
      <c r="G728" s="5">
        <v>66</v>
      </c>
      <c r="H728" s="5">
        <v>56</v>
      </c>
      <c r="I728" s="6" t="str">
        <f t="shared" si="33"/>
        <v/>
      </c>
      <c r="J728">
        <f t="shared" si="34"/>
        <v>54.550000000000011</v>
      </c>
      <c r="K728" s="4" t="str">
        <f t="shared" si="35"/>
        <v>F</v>
      </c>
      <c r="L728">
        <f>IF(Helper!$E$3="All",1,IF(C728=Helper!$E$3,1,0))</f>
        <v>1</v>
      </c>
    </row>
    <row r="729" spans="1:12" x14ac:dyDescent="0.3">
      <c r="A729" s="3" t="s">
        <v>548</v>
      </c>
      <c r="B729" s="3" t="s">
        <v>547</v>
      </c>
      <c r="C729" s="3" t="s">
        <v>0</v>
      </c>
      <c r="D729" s="7">
        <v>0.89</v>
      </c>
      <c r="E729" s="5">
        <v>100</v>
      </c>
      <c r="F729" s="5">
        <v>43</v>
      </c>
      <c r="G729" s="5">
        <v>93</v>
      </c>
      <c r="H729" s="5">
        <v>82</v>
      </c>
      <c r="I729" s="6" t="str">
        <f t="shared" si="33"/>
        <v/>
      </c>
      <c r="J729">
        <f t="shared" si="34"/>
        <v>87.15</v>
      </c>
      <c r="K729" s="4" t="str">
        <f t="shared" si="35"/>
        <v>B</v>
      </c>
      <c r="L729">
        <f>IF(Helper!$E$3="All",1,IF(C729=Helper!$E$3,1,0))</f>
        <v>1</v>
      </c>
    </row>
    <row r="730" spans="1:12" x14ac:dyDescent="0.3">
      <c r="A730" s="3" t="s">
        <v>546</v>
      </c>
      <c r="B730" s="3" t="s">
        <v>545</v>
      </c>
      <c r="C730" s="3" t="s">
        <v>8</v>
      </c>
      <c r="D730" s="7">
        <v>0.62</v>
      </c>
      <c r="E730" s="5">
        <v>53</v>
      </c>
      <c r="F730" s="5">
        <v>97</v>
      </c>
      <c r="G730" s="5">
        <v>92</v>
      </c>
      <c r="H730" s="5">
        <v>71</v>
      </c>
      <c r="I730" s="6" t="str">
        <f t="shared" si="33"/>
        <v/>
      </c>
      <c r="J730">
        <f t="shared" si="34"/>
        <v>72.7</v>
      </c>
      <c r="K730" s="4" t="str">
        <f t="shared" si="35"/>
        <v>C</v>
      </c>
      <c r="L730">
        <f>IF(Helper!$E$3="All",1,IF(C730=Helper!$E$3,1,0))</f>
        <v>1</v>
      </c>
    </row>
    <row r="731" spans="1:12" x14ac:dyDescent="0.3">
      <c r="A731" s="3" t="s">
        <v>544</v>
      </c>
      <c r="B731" s="3" t="s">
        <v>543</v>
      </c>
      <c r="C731" s="3" t="s">
        <v>3</v>
      </c>
      <c r="D731" s="7">
        <v>0.73</v>
      </c>
      <c r="E731" s="5">
        <v>75</v>
      </c>
      <c r="F731" s="5">
        <v>64</v>
      </c>
      <c r="G731" s="5">
        <v>81</v>
      </c>
      <c r="H731" s="5">
        <v>81</v>
      </c>
      <c r="I731" s="6" t="str">
        <f t="shared" si="33"/>
        <v/>
      </c>
      <c r="J731">
        <f t="shared" si="34"/>
        <v>81.750000000000014</v>
      </c>
      <c r="K731" s="4" t="str">
        <f t="shared" si="35"/>
        <v>B</v>
      </c>
      <c r="L731">
        <f>IF(Helper!$E$3="All",1,IF(C731=Helper!$E$3,1,0))</f>
        <v>1</v>
      </c>
    </row>
    <row r="732" spans="1:12" x14ac:dyDescent="0.3">
      <c r="A732" s="3" t="s">
        <v>542</v>
      </c>
      <c r="B732" s="3" t="s">
        <v>541</v>
      </c>
      <c r="C732" s="3" t="s">
        <v>0</v>
      </c>
      <c r="D732" s="7">
        <v>0.89</v>
      </c>
      <c r="E732" s="5">
        <v>72</v>
      </c>
      <c r="F732" s="5">
        <v>86</v>
      </c>
      <c r="G732" s="5">
        <v>98</v>
      </c>
      <c r="H732" s="5">
        <v>90</v>
      </c>
      <c r="I732" s="6" t="str">
        <f t="shared" si="33"/>
        <v/>
      </c>
      <c r="J732">
        <f t="shared" si="34"/>
        <v>93.1</v>
      </c>
      <c r="K732" s="4" t="str">
        <f t="shared" si="35"/>
        <v>A</v>
      </c>
      <c r="L732">
        <f>IF(Helper!$E$3="All",1,IF(C732=Helper!$E$3,1,0))</f>
        <v>1</v>
      </c>
    </row>
    <row r="733" spans="1:12" x14ac:dyDescent="0.3">
      <c r="A733" s="3" t="s">
        <v>540</v>
      </c>
      <c r="B733" s="3" t="s">
        <v>539</v>
      </c>
      <c r="C733" s="3" t="s">
        <v>8</v>
      </c>
      <c r="D733" s="7">
        <v>0.63</v>
      </c>
      <c r="E733" s="5">
        <v>62</v>
      </c>
      <c r="F733" s="5">
        <v>77</v>
      </c>
      <c r="G733" s="5">
        <v>86</v>
      </c>
      <c r="H733" s="5">
        <v>53</v>
      </c>
      <c r="I733" s="6">
        <f t="shared" si="33"/>
        <v>-33</v>
      </c>
      <c r="J733">
        <f t="shared" si="34"/>
        <v>62.550000000000004</v>
      </c>
      <c r="K733" s="4" t="str">
        <f t="shared" si="35"/>
        <v>D</v>
      </c>
      <c r="L733">
        <f>IF(Helper!$E$3="All",1,IF(C733=Helper!$E$3,1,0))</f>
        <v>1</v>
      </c>
    </row>
    <row r="734" spans="1:12" x14ac:dyDescent="0.3">
      <c r="A734" s="3" t="s">
        <v>538</v>
      </c>
      <c r="B734" s="3" t="s">
        <v>537</v>
      </c>
      <c r="C734" s="3" t="s">
        <v>8</v>
      </c>
      <c r="D734" s="7">
        <v>0.77</v>
      </c>
      <c r="E734" s="5">
        <v>89</v>
      </c>
      <c r="F734" s="5">
        <v>54</v>
      </c>
      <c r="G734" s="5">
        <v>69</v>
      </c>
      <c r="H734" s="5">
        <v>97</v>
      </c>
      <c r="I734" s="6">
        <f t="shared" si="33"/>
        <v>28</v>
      </c>
      <c r="J734">
        <f t="shared" si="34"/>
        <v>83.55</v>
      </c>
      <c r="K734" s="4" t="str">
        <f t="shared" si="35"/>
        <v>B</v>
      </c>
      <c r="L734">
        <f>IF(Helper!$E$3="All",1,IF(C734=Helper!$E$3,1,0))</f>
        <v>1</v>
      </c>
    </row>
    <row r="735" spans="1:12" x14ac:dyDescent="0.3">
      <c r="A735" s="3" t="s">
        <v>536</v>
      </c>
      <c r="B735" s="3" t="s">
        <v>535</v>
      </c>
      <c r="C735" s="3" t="s">
        <v>3</v>
      </c>
      <c r="D735" s="7">
        <v>0.96</v>
      </c>
      <c r="E735" s="5">
        <v>84</v>
      </c>
      <c r="F735" s="5">
        <v>60</v>
      </c>
      <c r="G735" s="5">
        <v>80</v>
      </c>
      <c r="H735" s="5">
        <v>49</v>
      </c>
      <c r="I735" s="6">
        <f t="shared" si="33"/>
        <v>-31</v>
      </c>
      <c r="J735">
        <f t="shared" si="34"/>
        <v>68.800000000000011</v>
      </c>
      <c r="K735" s="4" t="str">
        <f t="shared" si="35"/>
        <v>D</v>
      </c>
      <c r="L735">
        <f>IF(Helper!$E$3="All",1,IF(C735=Helper!$E$3,1,0))</f>
        <v>1</v>
      </c>
    </row>
    <row r="736" spans="1:12" x14ac:dyDescent="0.3">
      <c r="A736" s="3" t="s">
        <v>534</v>
      </c>
      <c r="B736" s="3" t="s">
        <v>533</v>
      </c>
      <c r="C736" s="3" t="s">
        <v>17</v>
      </c>
      <c r="D736" s="7">
        <v>0.84</v>
      </c>
      <c r="E736" s="5">
        <v>41</v>
      </c>
      <c r="F736" s="5">
        <v>74</v>
      </c>
      <c r="G736" s="5">
        <v>73</v>
      </c>
      <c r="H736" s="5">
        <v>86</v>
      </c>
      <c r="I736" s="6">
        <f t="shared" si="33"/>
        <v>13</v>
      </c>
      <c r="J736">
        <f t="shared" si="34"/>
        <v>79.349999999999994</v>
      </c>
      <c r="K736" s="4" t="str">
        <f t="shared" si="35"/>
        <v>C</v>
      </c>
      <c r="L736">
        <f>IF(Helper!$E$3="All",1,IF(C736=Helper!$E$3,1,0))</f>
        <v>1</v>
      </c>
    </row>
    <row r="737" spans="1:12" x14ac:dyDescent="0.3">
      <c r="A737" s="3" t="s">
        <v>532</v>
      </c>
      <c r="B737" s="3" t="s">
        <v>531</v>
      </c>
      <c r="C737" s="3" t="s">
        <v>0</v>
      </c>
      <c r="D737" s="7">
        <v>0.6</v>
      </c>
      <c r="E737" s="5">
        <v>80</v>
      </c>
      <c r="F737" s="5">
        <v>96</v>
      </c>
      <c r="G737" s="5">
        <v>76</v>
      </c>
      <c r="H737" s="5">
        <v>99</v>
      </c>
      <c r="I737" s="6">
        <f t="shared" si="33"/>
        <v>23</v>
      </c>
      <c r="J737">
        <f t="shared" si="34"/>
        <v>78.800000000000011</v>
      </c>
      <c r="K737" s="4" t="str">
        <f t="shared" si="35"/>
        <v>C</v>
      </c>
      <c r="L737">
        <f>IF(Helper!$E$3="All",1,IF(C737=Helper!$E$3,1,0))</f>
        <v>1</v>
      </c>
    </row>
    <row r="738" spans="1:12" x14ac:dyDescent="0.3">
      <c r="A738" s="3" t="s">
        <v>530</v>
      </c>
      <c r="B738" s="3" t="s">
        <v>529</v>
      </c>
      <c r="C738" s="3" t="s">
        <v>3</v>
      </c>
      <c r="D738" s="7">
        <v>0.74</v>
      </c>
      <c r="E738" s="5">
        <v>60</v>
      </c>
      <c r="F738" s="5">
        <v>92</v>
      </c>
      <c r="G738" s="5">
        <v>45</v>
      </c>
      <c r="H738" s="5">
        <v>90</v>
      </c>
      <c r="I738" s="6">
        <f t="shared" si="33"/>
        <v>45</v>
      </c>
      <c r="J738">
        <f t="shared" si="34"/>
        <v>71.599999999999994</v>
      </c>
      <c r="K738" s="4" t="str">
        <f t="shared" si="35"/>
        <v>C</v>
      </c>
      <c r="L738">
        <f>IF(Helper!$E$3="All",1,IF(C738=Helper!$E$3,1,0))</f>
        <v>1</v>
      </c>
    </row>
    <row r="739" spans="1:12" x14ac:dyDescent="0.3">
      <c r="A739" s="3" t="s">
        <v>528</v>
      </c>
      <c r="B739" s="3" t="s">
        <v>527</v>
      </c>
      <c r="C739" s="3" t="s">
        <v>8</v>
      </c>
      <c r="D739" s="7">
        <v>0.68</v>
      </c>
      <c r="E739" s="5">
        <v>41</v>
      </c>
      <c r="F739" s="5">
        <v>92</v>
      </c>
      <c r="G739" s="5">
        <v>46</v>
      </c>
      <c r="H739" s="5">
        <v>75</v>
      </c>
      <c r="I739" s="6">
        <f t="shared" si="33"/>
        <v>29</v>
      </c>
      <c r="J739">
        <f t="shared" si="34"/>
        <v>55.050000000000004</v>
      </c>
      <c r="K739" s="4" t="str">
        <f t="shared" si="35"/>
        <v>F</v>
      </c>
      <c r="L739">
        <f>IF(Helper!$E$3="All",1,IF(C739=Helper!$E$3,1,0))</f>
        <v>1</v>
      </c>
    </row>
    <row r="740" spans="1:12" x14ac:dyDescent="0.3">
      <c r="A740" s="3" t="s">
        <v>526</v>
      </c>
      <c r="B740" s="3" t="s">
        <v>525</v>
      </c>
      <c r="C740" s="3" t="s">
        <v>8</v>
      </c>
      <c r="D740" s="7">
        <v>0.74</v>
      </c>
      <c r="E740" s="5">
        <v>66</v>
      </c>
      <c r="F740" s="5">
        <v>85</v>
      </c>
      <c r="G740" s="5">
        <v>71</v>
      </c>
      <c r="H740" s="5">
        <v>73</v>
      </c>
      <c r="I740" s="6" t="str">
        <f t="shared" si="33"/>
        <v/>
      </c>
      <c r="J740">
        <f t="shared" si="34"/>
        <v>75.150000000000006</v>
      </c>
      <c r="K740" s="4" t="str">
        <f t="shared" si="35"/>
        <v>C</v>
      </c>
      <c r="L740">
        <f>IF(Helper!$E$3="All",1,IF(C740=Helper!$E$3,1,0))</f>
        <v>1</v>
      </c>
    </row>
    <row r="741" spans="1:12" x14ac:dyDescent="0.3">
      <c r="A741" s="3" t="s">
        <v>524</v>
      </c>
      <c r="B741" s="3" t="s">
        <v>523</v>
      </c>
      <c r="C741" s="3" t="s">
        <v>3</v>
      </c>
      <c r="D741" s="7">
        <v>0.83000000000000007</v>
      </c>
      <c r="E741" s="5">
        <v>96</v>
      </c>
      <c r="F741" s="5">
        <v>91</v>
      </c>
      <c r="G741" s="5">
        <v>71</v>
      </c>
      <c r="H741" s="5">
        <v>48</v>
      </c>
      <c r="I741" s="6" t="str">
        <f t="shared" si="33"/>
        <v/>
      </c>
      <c r="J741">
        <f t="shared" si="34"/>
        <v>66.95</v>
      </c>
      <c r="K741" s="4" t="str">
        <f t="shared" si="35"/>
        <v>D</v>
      </c>
      <c r="L741">
        <f>IF(Helper!$E$3="All",1,IF(C741=Helper!$E$3,1,0))</f>
        <v>1</v>
      </c>
    </row>
    <row r="742" spans="1:12" x14ac:dyDescent="0.3">
      <c r="A742" s="3" t="s">
        <v>522</v>
      </c>
      <c r="B742" s="3" t="s">
        <v>521</v>
      </c>
      <c r="C742" s="3" t="s">
        <v>0</v>
      </c>
      <c r="D742" s="7">
        <v>0.63</v>
      </c>
      <c r="E742" s="5">
        <v>48</v>
      </c>
      <c r="F742" s="5">
        <v>53</v>
      </c>
      <c r="G742" s="5">
        <v>92</v>
      </c>
      <c r="H742" s="5">
        <v>81</v>
      </c>
      <c r="I742" s="6" t="str">
        <f t="shared" si="33"/>
        <v/>
      </c>
      <c r="J742">
        <f t="shared" si="34"/>
        <v>74.250000000000014</v>
      </c>
      <c r="K742" s="4" t="str">
        <f t="shared" si="35"/>
        <v>C</v>
      </c>
      <c r="L742">
        <f>IF(Helper!$E$3="All",1,IF(C742=Helper!$E$3,1,0))</f>
        <v>1</v>
      </c>
    </row>
    <row r="743" spans="1:12" x14ac:dyDescent="0.3">
      <c r="A743" s="3" t="s">
        <v>520</v>
      </c>
      <c r="B743" s="3" t="s">
        <v>519</v>
      </c>
      <c r="C743" s="3" t="s">
        <v>17</v>
      </c>
      <c r="D743" s="7">
        <v>0.71</v>
      </c>
      <c r="E743" s="5">
        <v>40</v>
      </c>
      <c r="F743" s="5">
        <v>75</v>
      </c>
      <c r="G743" s="5">
        <v>64</v>
      </c>
      <c r="H743" s="5">
        <v>67</v>
      </c>
      <c r="I743" s="6" t="str">
        <f t="shared" si="33"/>
        <v/>
      </c>
      <c r="J743">
        <f t="shared" si="34"/>
        <v>68.150000000000006</v>
      </c>
      <c r="K743" s="4" t="str">
        <f t="shared" si="35"/>
        <v>D</v>
      </c>
      <c r="L743">
        <f>IF(Helper!$E$3="All",1,IF(C743=Helper!$E$3,1,0))</f>
        <v>1</v>
      </c>
    </row>
    <row r="744" spans="1:12" x14ac:dyDescent="0.3">
      <c r="A744" s="3" t="s">
        <v>518</v>
      </c>
      <c r="B744" s="3" t="s">
        <v>517</v>
      </c>
      <c r="C744" s="3" t="s">
        <v>17</v>
      </c>
      <c r="D744" s="7">
        <v>0.96</v>
      </c>
      <c r="E744" s="5">
        <v>50</v>
      </c>
      <c r="F744" s="5">
        <v>51</v>
      </c>
      <c r="G744" s="5">
        <v>72</v>
      </c>
      <c r="H744" s="5">
        <v>50</v>
      </c>
      <c r="I744" s="6" t="str">
        <f t="shared" si="33"/>
        <v/>
      </c>
      <c r="J744">
        <f t="shared" si="34"/>
        <v>63.849999999999994</v>
      </c>
      <c r="K744" s="4" t="str">
        <f t="shared" si="35"/>
        <v>D</v>
      </c>
      <c r="L744">
        <f>IF(Helper!$E$3="All",1,IF(C744=Helper!$E$3,1,0))</f>
        <v>1</v>
      </c>
    </row>
    <row r="745" spans="1:12" x14ac:dyDescent="0.3">
      <c r="A745" s="3" t="s">
        <v>516</v>
      </c>
      <c r="B745" s="3" t="s">
        <v>515</v>
      </c>
      <c r="C745" s="3" t="s">
        <v>8</v>
      </c>
      <c r="D745" s="7">
        <v>0.96</v>
      </c>
      <c r="E745" s="5">
        <v>42</v>
      </c>
      <c r="F745" s="5">
        <v>56</v>
      </c>
      <c r="G745" s="5">
        <v>94</v>
      </c>
      <c r="H745" s="5">
        <v>53</v>
      </c>
      <c r="I745" s="6">
        <f t="shared" si="33"/>
        <v>-41</v>
      </c>
      <c r="J745">
        <f t="shared" si="34"/>
        <v>73.699999999999989</v>
      </c>
      <c r="K745" s="4" t="str">
        <f t="shared" si="35"/>
        <v>C</v>
      </c>
      <c r="L745">
        <f>IF(Helper!$E$3="All",1,IF(C745=Helper!$E$3,1,0))</f>
        <v>1</v>
      </c>
    </row>
    <row r="746" spans="1:12" x14ac:dyDescent="0.3">
      <c r="A746" s="3" t="s">
        <v>514</v>
      </c>
      <c r="B746" s="3" t="s">
        <v>513</v>
      </c>
      <c r="C746" s="3" t="s">
        <v>0</v>
      </c>
      <c r="D746" s="7">
        <v>0.65</v>
      </c>
      <c r="E746" s="5">
        <v>91</v>
      </c>
      <c r="F746" s="5">
        <v>78</v>
      </c>
      <c r="G746" s="5">
        <v>97</v>
      </c>
      <c r="H746" s="5">
        <v>78</v>
      </c>
      <c r="I746" s="6" t="str">
        <f t="shared" si="33"/>
        <v/>
      </c>
      <c r="J746">
        <f t="shared" si="34"/>
        <v>78.45</v>
      </c>
      <c r="K746" s="4" t="str">
        <f t="shared" si="35"/>
        <v>C</v>
      </c>
      <c r="L746">
        <f>IF(Helper!$E$3="All",1,IF(C746=Helper!$E$3,1,0))</f>
        <v>1</v>
      </c>
    </row>
    <row r="747" spans="1:12" x14ac:dyDescent="0.3">
      <c r="A747" s="3" t="s">
        <v>512</v>
      </c>
      <c r="B747" s="3" t="s">
        <v>511</v>
      </c>
      <c r="C747" s="3" t="s">
        <v>17</v>
      </c>
      <c r="D747" s="7">
        <v>0.98</v>
      </c>
      <c r="E747" s="5">
        <v>62</v>
      </c>
      <c r="F747" s="5">
        <v>48</v>
      </c>
      <c r="G747" s="5">
        <v>46</v>
      </c>
      <c r="H747" s="5">
        <v>94</v>
      </c>
      <c r="I747" s="6">
        <f t="shared" si="33"/>
        <v>48</v>
      </c>
      <c r="J747">
        <f t="shared" si="34"/>
        <v>71.5</v>
      </c>
      <c r="K747" s="4" t="str">
        <f t="shared" si="35"/>
        <v>C</v>
      </c>
      <c r="L747">
        <f>IF(Helper!$E$3="All",1,IF(C747=Helper!$E$3,1,0))</f>
        <v>1</v>
      </c>
    </row>
    <row r="748" spans="1:12" x14ac:dyDescent="0.3">
      <c r="A748" s="3" t="s">
        <v>510</v>
      </c>
      <c r="B748" s="3" t="s">
        <v>509</v>
      </c>
      <c r="C748" s="3" t="s">
        <v>0</v>
      </c>
      <c r="D748" s="7">
        <v>0.83000000000000007</v>
      </c>
      <c r="E748" s="5">
        <v>65</v>
      </c>
      <c r="F748" s="5">
        <v>74</v>
      </c>
      <c r="G748" s="5">
        <v>91</v>
      </c>
      <c r="H748" s="5">
        <v>86</v>
      </c>
      <c r="I748" s="6" t="str">
        <f t="shared" si="33"/>
        <v/>
      </c>
      <c r="J748">
        <f t="shared" si="34"/>
        <v>87.75</v>
      </c>
      <c r="K748" s="4" t="str">
        <f t="shared" si="35"/>
        <v>B</v>
      </c>
      <c r="L748">
        <f>IF(Helper!$E$3="All",1,IF(C748=Helper!$E$3,1,0))</f>
        <v>1</v>
      </c>
    </row>
    <row r="749" spans="1:12" x14ac:dyDescent="0.3">
      <c r="A749" s="3" t="s">
        <v>508</v>
      </c>
      <c r="B749" s="3" t="s">
        <v>507</v>
      </c>
      <c r="C749" s="3" t="s">
        <v>0</v>
      </c>
      <c r="D749" s="7">
        <v>0.70000000000000007</v>
      </c>
      <c r="E749" s="5">
        <v>43</v>
      </c>
      <c r="F749" s="5">
        <v>99</v>
      </c>
      <c r="G749" s="5">
        <v>96</v>
      </c>
      <c r="H749" s="5">
        <v>93</v>
      </c>
      <c r="I749" s="6" t="str">
        <f t="shared" si="33"/>
        <v/>
      </c>
      <c r="J749">
        <f t="shared" si="34"/>
        <v>82.7</v>
      </c>
      <c r="K749" s="4" t="str">
        <f t="shared" si="35"/>
        <v>B</v>
      </c>
      <c r="L749">
        <f>IF(Helper!$E$3="All",1,IF(C749=Helper!$E$3,1,0))</f>
        <v>1</v>
      </c>
    </row>
    <row r="750" spans="1:12" x14ac:dyDescent="0.3">
      <c r="A750" s="3" t="s">
        <v>506</v>
      </c>
      <c r="B750" s="3" t="s">
        <v>505</v>
      </c>
      <c r="C750" s="3" t="s">
        <v>8</v>
      </c>
      <c r="D750" s="7">
        <v>0.72</v>
      </c>
      <c r="E750" s="5">
        <v>57</v>
      </c>
      <c r="F750" s="5">
        <v>52</v>
      </c>
      <c r="G750" s="5">
        <v>51</v>
      </c>
      <c r="H750" s="5">
        <v>58</v>
      </c>
      <c r="I750" s="6" t="str">
        <f t="shared" si="33"/>
        <v/>
      </c>
      <c r="J750">
        <f t="shared" si="34"/>
        <v>59.05</v>
      </c>
      <c r="K750" s="4" t="str">
        <f t="shared" si="35"/>
        <v>F</v>
      </c>
      <c r="L750">
        <f>IF(Helper!$E$3="All",1,IF(C750=Helper!$E$3,1,0))</f>
        <v>1</v>
      </c>
    </row>
    <row r="751" spans="1:12" x14ac:dyDescent="0.3">
      <c r="A751" s="3" t="s">
        <v>504</v>
      </c>
      <c r="B751" s="3" t="s">
        <v>503</v>
      </c>
      <c r="C751" s="3" t="s">
        <v>17</v>
      </c>
      <c r="D751" s="7">
        <v>0.93</v>
      </c>
      <c r="E751" s="5">
        <v>94</v>
      </c>
      <c r="F751" s="5">
        <v>54</v>
      </c>
      <c r="G751" s="5">
        <v>55</v>
      </c>
      <c r="H751" s="5">
        <v>93</v>
      </c>
      <c r="I751" s="6">
        <f t="shared" si="33"/>
        <v>38</v>
      </c>
      <c r="J751">
        <f t="shared" si="34"/>
        <v>76.599999999999994</v>
      </c>
      <c r="K751" s="4" t="str">
        <f t="shared" si="35"/>
        <v>C</v>
      </c>
      <c r="L751">
        <f>IF(Helper!$E$3="All",1,IF(C751=Helper!$E$3,1,0))</f>
        <v>1</v>
      </c>
    </row>
    <row r="752" spans="1:12" x14ac:dyDescent="0.3">
      <c r="A752" s="3" t="s">
        <v>502</v>
      </c>
      <c r="B752" s="3" t="s">
        <v>501</v>
      </c>
      <c r="C752" s="3" t="s">
        <v>3</v>
      </c>
      <c r="D752" s="7">
        <v>0.84</v>
      </c>
      <c r="E752" s="5">
        <v>45</v>
      </c>
      <c r="F752" s="5">
        <v>57</v>
      </c>
      <c r="G752" s="5">
        <v>55</v>
      </c>
      <c r="H752" s="5">
        <v>54</v>
      </c>
      <c r="I752" s="6" t="str">
        <f t="shared" si="33"/>
        <v/>
      </c>
      <c r="J752">
        <f t="shared" si="34"/>
        <v>58.7</v>
      </c>
      <c r="K752" s="4" t="str">
        <f t="shared" si="35"/>
        <v>F</v>
      </c>
      <c r="L752">
        <f>IF(Helper!$E$3="All",1,IF(C752=Helper!$E$3,1,0))</f>
        <v>1</v>
      </c>
    </row>
    <row r="753" spans="1:12" x14ac:dyDescent="0.3">
      <c r="A753" s="3" t="s">
        <v>500</v>
      </c>
      <c r="B753" s="3" t="s">
        <v>499</v>
      </c>
      <c r="C753" s="3" t="s">
        <v>8</v>
      </c>
      <c r="D753" s="7">
        <v>0.66</v>
      </c>
      <c r="E753" s="5">
        <v>74</v>
      </c>
      <c r="F753" s="5">
        <v>90</v>
      </c>
      <c r="G753" s="5">
        <v>82</v>
      </c>
      <c r="H753" s="5">
        <v>67</v>
      </c>
      <c r="I753" s="6" t="str">
        <f t="shared" si="33"/>
        <v/>
      </c>
      <c r="J753">
        <f t="shared" si="34"/>
        <v>67.8</v>
      </c>
      <c r="K753" s="4" t="str">
        <f t="shared" si="35"/>
        <v>D</v>
      </c>
      <c r="L753">
        <f>IF(Helper!$E$3="All",1,IF(C753=Helper!$E$3,1,0))</f>
        <v>1</v>
      </c>
    </row>
    <row r="754" spans="1:12" x14ac:dyDescent="0.3">
      <c r="A754" s="3" t="s">
        <v>498</v>
      </c>
      <c r="B754" s="3" t="s">
        <v>497</v>
      </c>
      <c r="C754" s="3" t="s">
        <v>17</v>
      </c>
      <c r="D754" s="7">
        <v>0.63</v>
      </c>
      <c r="E754" s="5">
        <v>61</v>
      </c>
      <c r="F754" s="5">
        <v>72</v>
      </c>
      <c r="G754" s="5">
        <v>92</v>
      </c>
      <c r="H754" s="5">
        <v>63</v>
      </c>
      <c r="I754" s="6" t="str">
        <f t="shared" si="33"/>
        <v/>
      </c>
      <c r="J754">
        <f t="shared" si="34"/>
        <v>68.650000000000006</v>
      </c>
      <c r="K754" s="4" t="str">
        <f t="shared" si="35"/>
        <v>D</v>
      </c>
      <c r="L754">
        <f>IF(Helper!$E$3="All",1,IF(C754=Helper!$E$3,1,0))</f>
        <v>1</v>
      </c>
    </row>
    <row r="755" spans="1:12" x14ac:dyDescent="0.3">
      <c r="A755" s="3" t="s">
        <v>496</v>
      </c>
      <c r="B755" s="3" t="s">
        <v>495</v>
      </c>
      <c r="C755" s="3" t="s">
        <v>17</v>
      </c>
      <c r="D755" s="7">
        <v>0.67</v>
      </c>
      <c r="E755" s="5">
        <v>82</v>
      </c>
      <c r="F755" s="5">
        <v>45</v>
      </c>
      <c r="G755" s="5">
        <v>75</v>
      </c>
      <c r="H755" s="5">
        <v>47</v>
      </c>
      <c r="I755" s="6">
        <f t="shared" si="33"/>
        <v>-28</v>
      </c>
      <c r="J755">
        <f t="shared" si="34"/>
        <v>55.15</v>
      </c>
      <c r="K755" s="4" t="str">
        <f t="shared" si="35"/>
        <v>F</v>
      </c>
      <c r="L755">
        <f>IF(Helper!$E$3="All",1,IF(C755=Helper!$E$3,1,0))</f>
        <v>1</v>
      </c>
    </row>
    <row r="756" spans="1:12" x14ac:dyDescent="0.3">
      <c r="A756" s="3" t="s">
        <v>494</v>
      </c>
      <c r="B756" s="3" t="s">
        <v>493</v>
      </c>
      <c r="C756" s="3" t="s">
        <v>17</v>
      </c>
      <c r="D756" s="7">
        <v>0.79</v>
      </c>
      <c r="E756" s="5">
        <v>54</v>
      </c>
      <c r="F756" s="5">
        <v>98</v>
      </c>
      <c r="G756" s="5">
        <v>52</v>
      </c>
      <c r="H756" s="5">
        <v>82</v>
      </c>
      <c r="I756" s="6">
        <f t="shared" si="33"/>
        <v>30</v>
      </c>
      <c r="J756">
        <f t="shared" si="34"/>
        <v>71.2</v>
      </c>
      <c r="K756" s="4" t="str">
        <f t="shared" si="35"/>
        <v>C</v>
      </c>
      <c r="L756">
        <f>IF(Helper!$E$3="All",1,IF(C756=Helper!$E$3,1,0))</f>
        <v>1</v>
      </c>
    </row>
    <row r="757" spans="1:12" x14ac:dyDescent="0.3">
      <c r="A757" s="3" t="s">
        <v>492</v>
      </c>
      <c r="B757" s="3" t="s">
        <v>491</v>
      </c>
      <c r="C757" s="3" t="s">
        <v>17</v>
      </c>
      <c r="D757" s="7">
        <v>0.88</v>
      </c>
      <c r="E757" s="5">
        <v>61</v>
      </c>
      <c r="F757" s="5">
        <v>66</v>
      </c>
      <c r="G757" s="5">
        <v>46</v>
      </c>
      <c r="H757" s="5">
        <v>100</v>
      </c>
      <c r="I757" s="6">
        <f t="shared" si="33"/>
        <v>54</v>
      </c>
      <c r="J757">
        <f t="shared" si="34"/>
        <v>74.75</v>
      </c>
      <c r="K757" s="4" t="str">
        <f t="shared" si="35"/>
        <v>C</v>
      </c>
      <c r="L757">
        <f>IF(Helper!$E$3="All",1,IF(C757=Helper!$E$3,1,0))</f>
        <v>1</v>
      </c>
    </row>
    <row r="758" spans="1:12" x14ac:dyDescent="0.3">
      <c r="A758" s="3" t="s">
        <v>490</v>
      </c>
      <c r="B758" s="3" t="s">
        <v>489</v>
      </c>
      <c r="C758" s="3" t="s">
        <v>17</v>
      </c>
      <c r="D758" s="7">
        <v>0.69000000000000006</v>
      </c>
      <c r="E758" s="5">
        <v>99</v>
      </c>
      <c r="F758" s="5">
        <v>62</v>
      </c>
      <c r="G758" s="5">
        <v>75</v>
      </c>
      <c r="H758" s="5">
        <v>48</v>
      </c>
      <c r="I758" s="6">
        <f t="shared" si="33"/>
        <v>-27</v>
      </c>
      <c r="J758">
        <f t="shared" si="34"/>
        <v>57.25</v>
      </c>
      <c r="K758" s="4" t="str">
        <f t="shared" si="35"/>
        <v>F</v>
      </c>
      <c r="L758">
        <f>IF(Helper!$E$3="All",1,IF(C758=Helper!$E$3,1,0))</f>
        <v>1</v>
      </c>
    </row>
    <row r="759" spans="1:12" x14ac:dyDescent="0.3">
      <c r="A759" s="3" t="s">
        <v>488</v>
      </c>
      <c r="B759" s="3" t="s">
        <v>487</v>
      </c>
      <c r="C759" s="3" t="s">
        <v>0</v>
      </c>
      <c r="D759" s="7">
        <v>0.93</v>
      </c>
      <c r="E759" s="5">
        <v>76</v>
      </c>
      <c r="F759" s="5">
        <v>98</v>
      </c>
      <c r="G759" s="5">
        <v>86</v>
      </c>
      <c r="H759" s="5">
        <v>86</v>
      </c>
      <c r="I759" s="6" t="str">
        <f t="shared" si="33"/>
        <v/>
      </c>
      <c r="J759">
        <f t="shared" si="34"/>
        <v>87.5</v>
      </c>
      <c r="K759" s="4" t="str">
        <f t="shared" si="35"/>
        <v>B</v>
      </c>
      <c r="L759">
        <f>IF(Helper!$E$3="All",1,IF(C759=Helper!$E$3,1,0))</f>
        <v>1</v>
      </c>
    </row>
    <row r="760" spans="1:12" x14ac:dyDescent="0.3">
      <c r="A760" s="3" t="s">
        <v>486</v>
      </c>
      <c r="B760" s="3" t="s">
        <v>485</v>
      </c>
      <c r="C760" s="3" t="s">
        <v>8</v>
      </c>
      <c r="D760" s="7">
        <v>0.85</v>
      </c>
      <c r="E760" s="5">
        <v>91</v>
      </c>
      <c r="F760" s="5">
        <v>66</v>
      </c>
      <c r="G760" s="5">
        <v>90</v>
      </c>
      <c r="H760" s="5">
        <v>72</v>
      </c>
      <c r="I760" s="6" t="str">
        <f t="shared" si="33"/>
        <v/>
      </c>
      <c r="J760">
        <f t="shared" si="34"/>
        <v>82.65</v>
      </c>
      <c r="K760" s="4" t="str">
        <f t="shared" si="35"/>
        <v>B</v>
      </c>
      <c r="L760">
        <f>IF(Helper!$E$3="All",1,IF(C760=Helper!$E$3,1,0))</f>
        <v>1</v>
      </c>
    </row>
    <row r="761" spans="1:12" x14ac:dyDescent="0.3">
      <c r="A761" s="3" t="s">
        <v>484</v>
      </c>
      <c r="B761" s="3" t="s">
        <v>483</v>
      </c>
      <c r="C761" s="3" t="s">
        <v>0</v>
      </c>
      <c r="D761" s="7">
        <v>1</v>
      </c>
      <c r="E761" s="5">
        <v>81</v>
      </c>
      <c r="F761" s="5">
        <v>73</v>
      </c>
      <c r="G761" s="5">
        <v>48</v>
      </c>
      <c r="H761" s="5">
        <v>72</v>
      </c>
      <c r="I761" s="6">
        <f t="shared" si="33"/>
        <v>24</v>
      </c>
      <c r="J761">
        <f t="shared" si="34"/>
        <v>65.699999999999989</v>
      </c>
      <c r="K761" s="4" t="str">
        <f t="shared" si="35"/>
        <v>D</v>
      </c>
      <c r="L761">
        <f>IF(Helper!$E$3="All",1,IF(C761=Helper!$E$3,1,0))</f>
        <v>1</v>
      </c>
    </row>
    <row r="762" spans="1:12" x14ac:dyDescent="0.3">
      <c r="A762" s="3" t="s">
        <v>482</v>
      </c>
      <c r="B762" s="3" t="s">
        <v>481</v>
      </c>
      <c r="C762" s="3" t="s">
        <v>3</v>
      </c>
      <c r="D762" s="7">
        <v>0.62</v>
      </c>
      <c r="E762" s="5">
        <v>51</v>
      </c>
      <c r="F762" s="5">
        <v>95</v>
      </c>
      <c r="G762" s="5">
        <v>71</v>
      </c>
      <c r="H762" s="5">
        <v>58</v>
      </c>
      <c r="I762" s="6" t="str">
        <f t="shared" si="33"/>
        <v/>
      </c>
      <c r="J762">
        <f t="shared" si="34"/>
        <v>58.899999999999991</v>
      </c>
      <c r="K762" s="4" t="str">
        <f t="shared" si="35"/>
        <v>F</v>
      </c>
      <c r="L762">
        <f>IF(Helper!$E$3="All",1,IF(C762=Helper!$E$3,1,0))</f>
        <v>1</v>
      </c>
    </row>
    <row r="763" spans="1:12" x14ac:dyDescent="0.3">
      <c r="A763" s="3" t="s">
        <v>480</v>
      </c>
      <c r="B763" s="3" t="s">
        <v>479</v>
      </c>
      <c r="C763" s="3" t="s">
        <v>17</v>
      </c>
      <c r="D763" s="7">
        <v>0.65</v>
      </c>
      <c r="E763" s="5">
        <v>86</v>
      </c>
      <c r="F763" s="5">
        <v>85</v>
      </c>
      <c r="G763" s="5">
        <v>50</v>
      </c>
      <c r="H763" s="5">
        <v>42</v>
      </c>
      <c r="I763" s="6" t="str">
        <f t="shared" si="33"/>
        <v/>
      </c>
      <c r="J763">
        <f t="shared" si="34"/>
        <v>45.35</v>
      </c>
      <c r="K763" s="4" t="str">
        <f t="shared" si="35"/>
        <v>F</v>
      </c>
      <c r="L763">
        <f>IF(Helper!$E$3="All",1,IF(C763=Helper!$E$3,1,0))</f>
        <v>1</v>
      </c>
    </row>
    <row r="764" spans="1:12" x14ac:dyDescent="0.3">
      <c r="A764" s="3" t="s">
        <v>478</v>
      </c>
      <c r="B764" s="3" t="s">
        <v>477</v>
      </c>
      <c r="C764" s="3" t="s">
        <v>8</v>
      </c>
      <c r="D764" s="7">
        <v>0.64</v>
      </c>
      <c r="E764" s="5">
        <v>88</v>
      </c>
      <c r="F764" s="5">
        <v>77</v>
      </c>
      <c r="G764" s="5">
        <v>47</v>
      </c>
      <c r="H764" s="5">
        <v>49</v>
      </c>
      <c r="I764" s="6" t="str">
        <f t="shared" si="33"/>
        <v/>
      </c>
      <c r="J764">
        <f t="shared" si="34"/>
        <v>46.65</v>
      </c>
      <c r="K764" s="4" t="str">
        <f t="shared" si="35"/>
        <v>F</v>
      </c>
      <c r="L764">
        <f>IF(Helper!$E$3="All",1,IF(C764=Helper!$E$3,1,0))</f>
        <v>1</v>
      </c>
    </row>
    <row r="765" spans="1:12" x14ac:dyDescent="0.3">
      <c r="A765" s="3" t="s">
        <v>476</v>
      </c>
      <c r="B765" s="3" t="s">
        <v>475</v>
      </c>
      <c r="C765" s="3" t="s">
        <v>17</v>
      </c>
      <c r="D765" s="7">
        <v>0.64</v>
      </c>
      <c r="E765" s="5">
        <v>81</v>
      </c>
      <c r="F765" s="5">
        <v>53</v>
      </c>
      <c r="G765" s="5">
        <v>72</v>
      </c>
      <c r="H765" s="5">
        <v>79</v>
      </c>
      <c r="I765" s="6" t="str">
        <f t="shared" si="33"/>
        <v/>
      </c>
      <c r="J765">
        <f t="shared" si="34"/>
        <v>67.099999999999994</v>
      </c>
      <c r="K765" s="4" t="str">
        <f t="shared" si="35"/>
        <v>D</v>
      </c>
      <c r="L765">
        <f>IF(Helper!$E$3="All",1,IF(C765=Helper!$E$3,1,0))</f>
        <v>1</v>
      </c>
    </row>
    <row r="766" spans="1:12" x14ac:dyDescent="0.3">
      <c r="A766" s="3" t="s">
        <v>474</v>
      </c>
      <c r="B766" s="3" t="s">
        <v>473</v>
      </c>
      <c r="C766" s="3" t="s">
        <v>8</v>
      </c>
      <c r="D766" s="7">
        <v>0.82000000000000006</v>
      </c>
      <c r="E766" s="5">
        <v>77</v>
      </c>
      <c r="F766" s="5">
        <v>75</v>
      </c>
      <c r="G766" s="5">
        <v>62</v>
      </c>
      <c r="H766" s="5">
        <v>86</v>
      </c>
      <c r="I766" s="6">
        <f t="shared" si="33"/>
        <v>24</v>
      </c>
      <c r="J766">
        <f t="shared" si="34"/>
        <v>76.800000000000011</v>
      </c>
      <c r="K766" s="4" t="str">
        <f t="shared" si="35"/>
        <v>C</v>
      </c>
      <c r="L766">
        <f>IF(Helper!$E$3="All",1,IF(C766=Helper!$E$3,1,0))</f>
        <v>1</v>
      </c>
    </row>
    <row r="767" spans="1:12" x14ac:dyDescent="0.3">
      <c r="A767" s="3" t="s">
        <v>472</v>
      </c>
      <c r="B767" s="3" t="s">
        <v>471</v>
      </c>
      <c r="C767" s="3" t="s">
        <v>0</v>
      </c>
      <c r="D767" s="7">
        <v>0.68</v>
      </c>
      <c r="E767" s="5">
        <v>57</v>
      </c>
      <c r="F767" s="5">
        <v>92</v>
      </c>
      <c r="G767" s="5">
        <v>64</v>
      </c>
      <c r="H767" s="5">
        <v>81</v>
      </c>
      <c r="I767" s="6">
        <f t="shared" si="33"/>
        <v>17</v>
      </c>
      <c r="J767">
        <f t="shared" si="34"/>
        <v>65.450000000000017</v>
      </c>
      <c r="K767" s="4" t="str">
        <f t="shared" si="35"/>
        <v>D</v>
      </c>
      <c r="L767">
        <f>IF(Helper!$E$3="All",1,IF(C767=Helper!$E$3,1,0))</f>
        <v>1</v>
      </c>
    </row>
    <row r="768" spans="1:12" x14ac:dyDescent="0.3">
      <c r="A768" s="3" t="s">
        <v>470</v>
      </c>
      <c r="B768" s="3" t="s">
        <v>469</v>
      </c>
      <c r="C768" s="3" t="s">
        <v>8</v>
      </c>
      <c r="D768" s="7">
        <v>0.94000000000000006</v>
      </c>
      <c r="E768" s="5">
        <v>84</v>
      </c>
      <c r="F768" s="5">
        <v>47</v>
      </c>
      <c r="G768" s="5">
        <v>95</v>
      </c>
      <c r="H768" s="5">
        <v>40</v>
      </c>
      <c r="I768" s="6">
        <f t="shared" si="33"/>
        <v>-55</v>
      </c>
      <c r="J768">
        <f t="shared" si="34"/>
        <v>70.55</v>
      </c>
      <c r="K768" s="4" t="str">
        <f t="shared" si="35"/>
        <v>C</v>
      </c>
      <c r="L768">
        <f>IF(Helper!$E$3="All",1,IF(C768=Helper!$E$3,1,0))</f>
        <v>1</v>
      </c>
    </row>
    <row r="769" spans="1:12" x14ac:dyDescent="0.3">
      <c r="A769" s="3" t="s">
        <v>468</v>
      </c>
      <c r="B769" s="3" t="s">
        <v>467</v>
      </c>
      <c r="C769" s="3" t="s">
        <v>3</v>
      </c>
      <c r="D769" s="7">
        <v>0.79</v>
      </c>
      <c r="E769" s="5">
        <v>74</v>
      </c>
      <c r="F769" s="5">
        <v>74</v>
      </c>
      <c r="G769" s="5">
        <v>47</v>
      </c>
      <c r="H769" s="5">
        <v>68</v>
      </c>
      <c r="I769" s="6">
        <f t="shared" si="33"/>
        <v>21</v>
      </c>
      <c r="J769">
        <f t="shared" si="34"/>
        <v>63.4</v>
      </c>
      <c r="K769" s="4" t="str">
        <f t="shared" si="35"/>
        <v>D</v>
      </c>
      <c r="L769">
        <f>IF(Helper!$E$3="All",1,IF(C769=Helper!$E$3,1,0))</f>
        <v>1</v>
      </c>
    </row>
    <row r="770" spans="1:12" x14ac:dyDescent="0.3">
      <c r="A770" s="3" t="s">
        <v>466</v>
      </c>
      <c r="B770" s="3" t="s">
        <v>465</v>
      </c>
      <c r="C770" s="3" t="s">
        <v>3</v>
      </c>
      <c r="D770" s="7">
        <v>0.94000000000000006</v>
      </c>
      <c r="E770" s="5">
        <v>69</v>
      </c>
      <c r="F770" s="5">
        <v>58</v>
      </c>
      <c r="G770" s="5">
        <v>84</v>
      </c>
      <c r="H770" s="5">
        <v>89</v>
      </c>
      <c r="I770" s="6" t="str">
        <f t="shared" ref="I770:I833" si="36">IF(H770&gt;G770*1.15,H770-G770,IF(H770&lt;G770*0.65,H770-G770,""))</f>
        <v/>
      </c>
      <c r="J770">
        <f t="shared" ref="J770:J833" si="37">IF(ISBLANK(D770),"",IF(D770&gt;0.7,10,0)+(E770/100*5)+(F770/100*5)+(G770/100*40)+(H770/100*40))</f>
        <v>85.550000000000011</v>
      </c>
      <c r="K770" s="4" t="str">
        <f t="shared" ref="K770:K833" si="38">IF(J770&gt;=90,"A",IF(J770&gt;=80,"B",IF(J770&gt;=70,"C",IF(J770&gt;=60,"D","F"))))</f>
        <v>B</v>
      </c>
      <c r="L770">
        <f>IF(Helper!$E$3="All",1,IF(C770=Helper!$E$3,1,0))</f>
        <v>1</v>
      </c>
    </row>
    <row r="771" spans="1:12" x14ac:dyDescent="0.3">
      <c r="A771" s="3" t="s">
        <v>464</v>
      </c>
      <c r="B771" s="3" t="s">
        <v>463</v>
      </c>
      <c r="C771" s="3" t="s">
        <v>8</v>
      </c>
      <c r="D771" s="7">
        <v>0.77</v>
      </c>
      <c r="E771" s="5">
        <v>63</v>
      </c>
      <c r="F771" s="5">
        <v>69</v>
      </c>
      <c r="G771" s="5">
        <v>61</v>
      </c>
      <c r="H771" s="5">
        <v>73</v>
      </c>
      <c r="I771" s="6">
        <f t="shared" si="36"/>
        <v>12</v>
      </c>
      <c r="J771">
        <f t="shared" si="37"/>
        <v>70.2</v>
      </c>
      <c r="K771" s="4" t="str">
        <f t="shared" si="38"/>
        <v>C</v>
      </c>
      <c r="L771">
        <f>IF(Helper!$E$3="All",1,IF(C771=Helper!$E$3,1,0))</f>
        <v>1</v>
      </c>
    </row>
    <row r="772" spans="1:12" x14ac:dyDescent="0.3">
      <c r="A772" s="3" t="s">
        <v>462</v>
      </c>
      <c r="B772" s="3" t="s">
        <v>461</v>
      </c>
      <c r="C772" s="3" t="s">
        <v>8</v>
      </c>
      <c r="D772" s="7">
        <v>0.76</v>
      </c>
      <c r="E772" s="5">
        <v>81</v>
      </c>
      <c r="F772" s="5">
        <v>53</v>
      </c>
      <c r="G772" s="5">
        <v>98</v>
      </c>
      <c r="H772" s="5">
        <v>90</v>
      </c>
      <c r="I772" s="6" t="str">
        <f t="shared" si="36"/>
        <v/>
      </c>
      <c r="J772">
        <f t="shared" si="37"/>
        <v>91.9</v>
      </c>
      <c r="K772" s="4" t="str">
        <f t="shared" si="38"/>
        <v>A</v>
      </c>
      <c r="L772">
        <f>IF(Helper!$E$3="All",1,IF(C772=Helper!$E$3,1,0))</f>
        <v>1</v>
      </c>
    </row>
    <row r="773" spans="1:12" x14ac:dyDescent="0.3">
      <c r="A773" s="3" t="s">
        <v>460</v>
      </c>
      <c r="B773" s="3" t="s">
        <v>459</v>
      </c>
      <c r="C773" s="3" t="s">
        <v>8</v>
      </c>
      <c r="D773" s="7">
        <v>0.83000000000000007</v>
      </c>
      <c r="E773" s="5">
        <v>69</v>
      </c>
      <c r="F773" s="5">
        <v>98</v>
      </c>
      <c r="G773" s="5">
        <v>43</v>
      </c>
      <c r="H773" s="5">
        <v>52</v>
      </c>
      <c r="I773" s="6">
        <f t="shared" si="36"/>
        <v>9</v>
      </c>
      <c r="J773">
        <f t="shared" si="37"/>
        <v>56.349999999999994</v>
      </c>
      <c r="K773" s="4" t="str">
        <f t="shared" si="38"/>
        <v>F</v>
      </c>
      <c r="L773">
        <f>IF(Helper!$E$3="All",1,IF(C773=Helper!$E$3,1,0))</f>
        <v>1</v>
      </c>
    </row>
    <row r="774" spans="1:12" x14ac:dyDescent="0.3">
      <c r="A774" s="3" t="s">
        <v>458</v>
      </c>
      <c r="B774" s="3" t="s">
        <v>457</v>
      </c>
      <c r="C774" s="3" t="s">
        <v>8</v>
      </c>
      <c r="D774" s="7">
        <v>0.62</v>
      </c>
      <c r="E774" s="5">
        <v>53</v>
      </c>
      <c r="F774" s="5">
        <v>59</v>
      </c>
      <c r="G774" s="5">
        <v>79</v>
      </c>
      <c r="H774" s="5">
        <v>93</v>
      </c>
      <c r="I774" s="6">
        <f t="shared" si="36"/>
        <v>14</v>
      </c>
      <c r="J774">
        <f t="shared" si="37"/>
        <v>74.400000000000006</v>
      </c>
      <c r="K774" s="4" t="str">
        <f t="shared" si="38"/>
        <v>C</v>
      </c>
      <c r="L774">
        <f>IF(Helper!$E$3="All",1,IF(C774=Helper!$E$3,1,0))</f>
        <v>1</v>
      </c>
    </row>
    <row r="775" spans="1:12" x14ac:dyDescent="0.3">
      <c r="A775" s="3" t="s">
        <v>456</v>
      </c>
      <c r="B775" s="3" t="s">
        <v>455</v>
      </c>
      <c r="C775" s="3" t="s">
        <v>3</v>
      </c>
      <c r="D775" s="7">
        <v>0.91</v>
      </c>
      <c r="E775" s="5">
        <v>45</v>
      </c>
      <c r="F775" s="5">
        <v>88</v>
      </c>
      <c r="G775" s="5">
        <v>42</v>
      </c>
      <c r="H775" s="5">
        <v>40</v>
      </c>
      <c r="I775" s="6" t="str">
        <f t="shared" si="36"/>
        <v/>
      </c>
      <c r="J775">
        <f t="shared" si="37"/>
        <v>49.45</v>
      </c>
      <c r="K775" s="4" t="str">
        <f t="shared" si="38"/>
        <v>F</v>
      </c>
      <c r="L775">
        <f>IF(Helper!$E$3="All",1,IF(C775=Helper!$E$3,1,0))</f>
        <v>1</v>
      </c>
    </row>
    <row r="776" spans="1:12" x14ac:dyDescent="0.3">
      <c r="A776" s="3" t="s">
        <v>454</v>
      </c>
      <c r="B776" s="3" t="s">
        <v>453</v>
      </c>
      <c r="C776" s="3" t="s">
        <v>17</v>
      </c>
      <c r="D776" s="7">
        <v>0.94000000000000006</v>
      </c>
      <c r="E776" s="5">
        <v>42</v>
      </c>
      <c r="F776" s="5">
        <v>64</v>
      </c>
      <c r="G776" s="5">
        <v>68</v>
      </c>
      <c r="H776" s="5">
        <v>73</v>
      </c>
      <c r="I776" s="6" t="str">
        <f t="shared" si="36"/>
        <v/>
      </c>
      <c r="J776">
        <f t="shared" si="37"/>
        <v>71.7</v>
      </c>
      <c r="K776" s="4" t="str">
        <f t="shared" si="38"/>
        <v>C</v>
      </c>
      <c r="L776">
        <f>IF(Helper!$E$3="All",1,IF(C776=Helper!$E$3,1,0))</f>
        <v>1</v>
      </c>
    </row>
    <row r="777" spans="1:12" x14ac:dyDescent="0.3">
      <c r="A777" s="3" t="s">
        <v>452</v>
      </c>
      <c r="B777" s="3" t="s">
        <v>451</v>
      </c>
      <c r="C777" s="3" t="s">
        <v>8</v>
      </c>
      <c r="D777" s="7">
        <v>0.97</v>
      </c>
      <c r="E777" s="5">
        <v>55</v>
      </c>
      <c r="F777" s="5">
        <v>79</v>
      </c>
      <c r="G777" s="5">
        <v>80</v>
      </c>
      <c r="H777" s="5">
        <v>68</v>
      </c>
      <c r="I777" s="6" t="str">
        <f t="shared" si="36"/>
        <v/>
      </c>
      <c r="J777">
        <f t="shared" si="37"/>
        <v>75.900000000000006</v>
      </c>
      <c r="K777" s="4" t="str">
        <f t="shared" si="38"/>
        <v>C</v>
      </c>
      <c r="L777">
        <f>IF(Helper!$E$3="All",1,IF(C777=Helper!$E$3,1,0))</f>
        <v>1</v>
      </c>
    </row>
    <row r="778" spans="1:12" x14ac:dyDescent="0.3">
      <c r="A778" s="3" t="s">
        <v>450</v>
      </c>
      <c r="B778" s="3" t="s">
        <v>449</v>
      </c>
      <c r="C778" s="3" t="s">
        <v>8</v>
      </c>
      <c r="D778" s="7">
        <v>0.72</v>
      </c>
      <c r="E778" s="5">
        <v>46</v>
      </c>
      <c r="F778" s="5">
        <v>63</v>
      </c>
      <c r="G778" s="5">
        <v>68</v>
      </c>
      <c r="H778" s="5">
        <v>87</v>
      </c>
      <c r="I778" s="6">
        <f t="shared" si="36"/>
        <v>19</v>
      </c>
      <c r="J778">
        <f t="shared" si="37"/>
        <v>77.45</v>
      </c>
      <c r="K778" s="4" t="str">
        <f t="shared" si="38"/>
        <v>C</v>
      </c>
      <c r="L778">
        <f>IF(Helper!$E$3="All",1,IF(C778=Helper!$E$3,1,0))</f>
        <v>1</v>
      </c>
    </row>
    <row r="779" spans="1:12" x14ac:dyDescent="0.3">
      <c r="A779" s="3" t="s">
        <v>448</v>
      </c>
      <c r="B779" s="3" t="s">
        <v>447</v>
      </c>
      <c r="C779" s="3" t="s">
        <v>3</v>
      </c>
      <c r="D779" s="7">
        <v>0.84</v>
      </c>
      <c r="E779" s="5">
        <v>91</v>
      </c>
      <c r="F779" s="5">
        <v>53</v>
      </c>
      <c r="G779" s="5">
        <v>73</v>
      </c>
      <c r="H779" s="5">
        <v>86</v>
      </c>
      <c r="I779" s="6">
        <f t="shared" si="36"/>
        <v>13</v>
      </c>
      <c r="J779">
        <f t="shared" si="37"/>
        <v>80.800000000000011</v>
      </c>
      <c r="K779" s="4" t="str">
        <f t="shared" si="38"/>
        <v>B</v>
      </c>
      <c r="L779">
        <f>IF(Helper!$E$3="All",1,IF(C779=Helper!$E$3,1,0))</f>
        <v>1</v>
      </c>
    </row>
    <row r="780" spans="1:12" x14ac:dyDescent="0.3">
      <c r="A780" s="3" t="s">
        <v>446</v>
      </c>
      <c r="B780" s="3" t="s">
        <v>445</v>
      </c>
      <c r="C780" s="3" t="s">
        <v>3</v>
      </c>
      <c r="D780" s="7">
        <v>0.68</v>
      </c>
      <c r="E780" s="5">
        <v>53</v>
      </c>
      <c r="F780" s="5">
        <v>65</v>
      </c>
      <c r="G780" s="5">
        <v>73</v>
      </c>
      <c r="H780" s="5">
        <v>52</v>
      </c>
      <c r="I780" s="6" t="str">
        <f t="shared" si="36"/>
        <v/>
      </c>
      <c r="J780">
        <f t="shared" si="37"/>
        <v>55.900000000000006</v>
      </c>
      <c r="K780" s="4" t="str">
        <f t="shared" si="38"/>
        <v>F</v>
      </c>
      <c r="L780">
        <f>IF(Helper!$E$3="All",1,IF(C780=Helper!$E$3,1,0))</f>
        <v>1</v>
      </c>
    </row>
    <row r="781" spans="1:12" x14ac:dyDescent="0.3">
      <c r="A781" s="3" t="s">
        <v>444</v>
      </c>
      <c r="B781" s="3" t="s">
        <v>443</v>
      </c>
      <c r="C781" s="3" t="s">
        <v>0</v>
      </c>
      <c r="D781" s="7">
        <v>0.63</v>
      </c>
      <c r="E781" s="5">
        <v>48</v>
      </c>
      <c r="F781" s="5">
        <v>77</v>
      </c>
      <c r="G781" s="5">
        <v>67</v>
      </c>
      <c r="H781" s="5">
        <v>87</v>
      </c>
      <c r="I781" s="6">
        <f t="shared" si="36"/>
        <v>20</v>
      </c>
      <c r="J781">
        <f t="shared" si="37"/>
        <v>67.849999999999994</v>
      </c>
      <c r="K781" s="4" t="str">
        <f t="shared" si="38"/>
        <v>D</v>
      </c>
      <c r="L781">
        <f>IF(Helper!$E$3="All",1,IF(C781=Helper!$E$3,1,0))</f>
        <v>1</v>
      </c>
    </row>
    <row r="782" spans="1:12" x14ac:dyDescent="0.3">
      <c r="A782" s="3" t="s">
        <v>442</v>
      </c>
      <c r="B782" s="3" t="s">
        <v>441</v>
      </c>
      <c r="C782" s="3" t="s">
        <v>8</v>
      </c>
      <c r="D782" s="7">
        <v>0.73</v>
      </c>
      <c r="E782" s="5">
        <v>54</v>
      </c>
      <c r="F782" s="5">
        <v>62</v>
      </c>
      <c r="G782" s="5">
        <v>52</v>
      </c>
      <c r="H782" s="5">
        <v>88</v>
      </c>
      <c r="I782" s="6">
        <f t="shared" si="36"/>
        <v>36</v>
      </c>
      <c r="J782">
        <f t="shared" si="37"/>
        <v>71.800000000000011</v>
      </c>
      <c r="K782" s="4" t="str">
        <f t="shared" si="38"/>
        <v>C</v>
      </c>
      <c r="L782">
        <f>IF(Helper!$E$3="All",1,IF(C782=Helper!$E$3,1,0))</f>
        <v>1</v>
      </c>
    </row>
    <row r="783" spans="1:12" x14ac:dyDescent="0.3">
      <c r="A783" s="3" t="s">
        <v>440</v>
      </c>
      <c r="B783" s="3" t="s">
        <v>439</v>
      </c>
      <c r="C783" s="3" t="s">
        <v>0</v>
      </c>
      <c r="D783" s="7">
        <v>0.96</v>
      </c>
      <c r="E783" s="5">
        <v>60</v>
      </c>
      <c r="F783" s="5">
        <v>61</v>
      </c>
      <c r="G783" s="5">
        <v>54</v>
      </c>
      <c r="H783" s="5">
        <v>92</v>
      </c>
      <c r="I783" s="6">
        <f t="shared" si="36"/>
        <v>38</v>
      </c>
      <c r="J783">
        <f t="shared" si="37"/>
        <v>74.450000000000017</v>
      </c>
      <c r="K783" s="4" t="str">
        <f t="shared" si="38"/>
        <v>C</v>
      </c>
      <c r="L783">
        <f>IF(Helper!$E$3="All",1,IF(C783=Helper!$E$3,1,0))</f>
        <v>1</v>
      </c>
    </row>
    <row r="784" spans="1:12" x14ac:dyDescent="0.3">
      <c r="A784" s="3" t="s">
        <v>438</v>
      </c>
      <c r="B784" s="3" t="s">
        <v>437</v>
      </c>
      <c r="C784" s="3" t="s">
        <v>3</v>
      </c>
      <c r="D784" s="7">
        <v>0.93</v>
      </c>
      <c r="E784" s="5">
        <v>74</v>
      </c>
      <c r="F784" s="5">
        <v>87</v>
      </c>
      <c r="G784" s="5">
        <v>99</v>
      </c>
      <c r="H784" s="5">
        <v>100</v>
      </c>
      <c r="I784" s="6" t="str">
        <f t="shared" si="36"/>
        <v/>
      </c>
      <c r="J784">
        <f t="shared" si="37"/>
        <v>97.65</v>
      </c>
      <c r="K784" s="4" t="str">
        <f t="shared" si="38"/>
        <v>A</v>
      </c>
      <c r="L784">
        <f>IF(Helper!$E$3="All",1,IF(C784=Helper!$E$3,1,0))</f>
        <v>1</v>
      </c>
    </row>
    <row r="785" spans="1:12" x14ac:dyDescent="0.3">
      <c r="A785" s="3" t="s">
        <v>436</v>
      </c>
      <c r="B785" s="3" t="s">
        <v>435</v>
      </c>
      <c r="C785" s="3" t="s">
        <v>3</v>
      </c>
      <c r="D785" s="7">
        <v>0.70000000000000007</v>
      </c>
      <c r="E785" s="5">
        <v>41</v>
      </c>
      <c r="F785" s="5">
        <v>96</v>
      </c>
      <c r="G785" s="5">
        <v>62</v>
      </c>
      <c r="H785" s="5">
        <v>68</v>
      </c>
      <c r="I785" s="6" t="str">
        <f t="shared" si="36"/>
        <v/>
      </c>
      <c r="J785">
        <f t="shared" si="37"/>
        <v>58.85</v>
      </c>
      <c r="K785" s="4" t="str">
        <f t="shared" si="38"/>
        <v>F</v>
      </c>
      <c r="L785">
        <f>IF(Helper!$E$3="All",1,IF(C785=Helper!$E$3,1,0))</f>
        <v>1</v>
      </c>
    </row>
    <row r="786" spans="1:12" x14ac:dyDescent="0.3">
      <c r="A786" s="3" t="s">
        <v>434</v>
      </c>
      <c r="B786" s="3" t="s">
        <v>433</v>
      </c>
      <c r="C786" s="3" t="s">
        <v>17</v>
      </c>
      <c r="D786" s="7">
        <v>1</v>
      </c>
      <c r="E786" s="5">
        <v>66</v>
      </c>
      <c r="F786" s="5">
        <v>58</v>
      </c>
      <c r="G786" s="5">
        <v>83</v>
      </c>
      <c r="H786" s="5">
        <v>78</v>
      </c>
      <c r="I786" s="6" t="str">
        <f t="shared" si="36"/>
        <v/>
      </c>
      <c r="J786">
        <f t="shared" si="37"/>
        <v>80.599999999999994</v>
      </c>
      <c r="K786" s="4" t="str">
        <f t="shared" si="38"/>
        <v>B</v>
      </c>
      <c r="L786">
        <f>IF(Helper!$E$3="All",1,IF(C786=Helper!$E$3,1,0))</f>
        <v>1</v>
      </c>
    </row>
    <row r="787" spans="1:12" x14ac:dyDescent="0.3">
      <c r="A787" s="3" t="s">
        <v>432</v>
      </c>
      <c r="B787" s="3" t="s">
        <v>431</v>
      </c>
      <c r="C787" s="3" t="s">
        <v>8</v>
      </c>
      <c r="D787" s="7">
        <v>0.62</v>
      </c>
      <c r="E787" s="5">
        <v>41</v>
      </c>
      <c r="F787" s="5">
        <v>85</v>
      </c>
      <c r="G787" s="5">
        <v>65</v>
      </c>
      <c r="H787" s="5">
        <v>63</v>
      </c>
      <c r="I787" s="6" t="str">
        <f t="shared" si="36"/>
        <v/>
      </c>
      <c r="J787">
        <f t="shared" si="37"/>
        <v>57.5</v>
      </c>
      <c r="K787" s="4" t="str">
        <f t="shared" si="38"/>
        <v>F</v>
      </c>
      <c r="L787">
        <f>IF(Helper!$E$3="All",1,IF(C787=Helper!$E$3,1,0))</f>
        <v>1</v>
      </c>
    </row>
    <row r="788" spans="1:12" x14ac:dyDescent="0.3">
      <c r="A788" s="3" t="s">
        <v>430</v>
      </c>
      <c r="B788" s="3" t="s">
        <v>429</v>
      </c>
      <c r="C788" s="3" t="s">
        <v>0</v>
      </c>
      <c r="D788" s="7">
        <v>0.87</v>
      </c>
      <c r="E788" s="5">
        <v>74</v>
      </c>
      <c r="F788" s="5">
        <v>90</v>
      </c>
      <c r="G788" s="5">
        <v>43</v>
      </c>
      <c r="H788" s="5">
        <v>65</v>
      </c>
      <c r="I788" s="6">
        <f t="shared" si="36"/>
        <v>22</v>
      </c>
      <c r="J788">
        <f t="shared" si="37"/>
        <v>61.4</v>
      </c>
      <c r="K788" s="4" t="str">
        <f t="shared" si="38"/>
        <v>D</v>
      </c>
      <c r="L788">
        <f>IF(Helper!$E$3="All",1,IF(C788=Helper!$E$3,1,0))</f>
        <v>1</v>
      </c>
    </row>
    <row r="789" spans="1:12" x14ac:dyDescent="0.3">
      <c r="A789" s="3" t="s">
        <v>428</v>
      </c>
      <c r="B789" s="3" t="s">
        <v>427</v>
      </c>
      <c r="C789" s="3" t="s">
        <v>3</v>
      </c>
      <c r="D789" s="7">
        <v>0.88</v>
      </c>
      <c r="E789" s="5">
        <v>57</v>
      </c>
      <c r="F789" s="5">
        <v>42</v>
      </c>
      <c r="G789" s="5">
        <v>65</v>
      </c>
      <c r="H789" s="5">
        <v>56</v>
      </c>
      <c r="I789" s="6" t="str">
        <f t="shared" si="36"/>
        <v/>
      </c>
      <c r="J789">
        <f t="shared" si="37"/>
        <v>63.350000000000009</v>
      </c>
      <c r="K789" s="4" t="str">
        <f t="shared" si="38"/>
        <v>D</v>
      </c>
      <c r="L789">
        <f>IF(Helper!$E$3="All",1,IF(C789=Helper!$E$3,1,0))</f>
        <v>1</v>
      </c>
    </row>
    <row r="790" spans="1:12" x14ac:dyDescent="0.3">
      <c r="A790" s="3" t="s">
        <v>426</v>
      </c>
      <c r="B790" s="3" t="s">
        <v>425</v>
      </c>
      <c r="C790" s="3" t="s">
        <v>3</v>
      </c>
      <c r="D790" s="7">
        <v>0.68</v>
      </c>
      <c r="E790" s="5">
        <v>53</v>
      </c>
      <c r="F790" s="5">
        <v>81</v>
      </c>
      <c r="G790" s="5">
        <v>79</v>
      </c>
      <c r="H790" s="5">
        <v>46</v>
      </c>
      <c r="I790" s="6">
        <f t="shared" si="36"/>
        <v>-33</v>
      </c>
      <c r="J790">
        <f t="shared" si="37"/>
        <v>56.7</v>
      </c>
      <c r="K790" s="4" t="str">
        <f t="shared" si="38"/>
        <v>F</v>
      </c>
      <c r="L790">
        <f>IF(Helper!$E$3="All",1,IF(C790=Helper!$E$3,1,0))</f>
        <v>1</v>
      </c>
    </row>
    <row r="791" spans="1:12" x14ac:dyDescent="0.3">
      <c r="A791" s="3" t="s">
        <v>424</v>
      </c>
      <c r="B791" s="3" t="s">
        <v>423</v>
      </c>
      <c r="C791" s="3" t="s">
        <v>0</v>
      </c>
      <c r="D791" s="7">
        <v>0.62</v>
      </c>
      <c r="E791" s="5">
        <v>59</v>
      </c>
      <c r="F791" s="5">
        <v>58</v>
      </c>
      <c r="G791" s="5">
        <v>48</v>
      </c>
      <c r="H791" s="5">
        <v>52</v>
      </c>
      <c r="I791" s="6" t="str">
        <f t="shared" si="36"/>
        <v/>
      </c>
      <c r="J791">
        <f t="shared" si="37"/>
        <v>45.849999999999994</v>
      </c>
      <c r="K791" s="4" t="str">
        <f t="shared" si="38"/>
        <v>F</v>
      </c>
      <c r="L791">
        <f>IF(Helper!$E$3="All",1,IF(C791=Helper!$E$3,1,0))</f>
        <v>1</v>
      </c>
    </row>
    <row r="792" spans="1:12" x14ac:dyDescent="0.3">
      <c r="A792" s="3" t="s">
        <v>422</v>
      </c>
      <c r="B792" s="3" t="s">
        <v>421</v>
      </c>
      <c r="C792" s="3" t="s">
        <v>17</v>
      </c>
      <c r="D792" s="7">
        <v>0.84</v>
      </c>
      <c r="E792" s="5">
        <v>57</v>
      </c>
      <c r="F792" s="5">
        <v>48</v>
      </c>
      <c r="G792" s="5">
        <v>94</v>
      </c>
      <c r="H792" s="5">
        <v>44</v>
      </c>
      <c r="I792" s="6">
        <f t="shared" si="36"/>
        <v>-50</v>
      </c>
      <c r="J792">
        <f t="shared" si="37"/>
        <v>70.449999999999989</v>
      </c>
      <c r="K792" s="4" t="str">
        <f t="shared" si="38"/>
        <v>C</v>
      </c>
      <c r="L792">
        <f>IF(Helper!$E$3="All",1,IF(C792=Helper!$E$3,1,0))</f>
        <v>1</v>
      </c>
    </row>
    <row r="793" spans="1:12" x14ac:dyDescent="0.3">
      <c r="A793" s="3" t="s">
        <v>420</v>
      </c>
      <c r="B793" s="3" t="s">
        <v>419</v>
      </c>
      <c r="C793" s="3" t="s">
        <v>3</v>
      </c>
      <c r="D793" s="7">
        <v>0.93</v>
      </c>
      <c r="E793" s="5">
        <v>49</v>
      </c>
      <c r="F793" s="5">
        <v>67</v>
      </c>
      <c r="G793" s="5">
        <v>44</v>
      </c>
      <c r="H793" s="5">
        <v>65</v>
      </c>
      <c r="I793" s="6">
        <f t="shared" si="36"/>
        <v>21</v>
      </c>
      <c r="J793">
        <f t="shared" si="37"/>
        <v>59.4</v>
      </c>
      <c r="K793" s="4" t="str">
        <f t="shared" si="38"/>
        <v>F</v>
      </c>
      <c r="L793">
        <f>IF(Helper!$E$3="All",1,IF(C793=Helper!$E$3,1,0))</f>
        <v>1</v>
      </c>
    </row>
    <row r="794" spans="1:12" x14ac:dyDescent="0.3">
      <c r="A794" s="3" t="s">
        <v>418</v>
      </c>
      <c r="B794" s="3" t="s">
        <v>417</v>
      </c>
      <c r="C794" s="3" t="s">
        <v>8</v>
      </c>
      <c r="D794" s="7">
        <v>0.71</v>
      </c>
      <c r="E794" s="5">
        <v>64</v>
      </c>
      <c r="F794" s="5">
        <v>59</v>
      </c>
      <c r="G794" s="5">
        <v>95</v>
      </c>
      <c r="H794" s="5">
        <v>88</v>
      </c>
      <c r="I794" s="6" t="str">
        <f t="shared" si="36"/>
        <v/>
      </c>
      <c r="J794">
        <f t="shared" si="37"/>
        <v>89.35</v>
      </c>
      <c r="K794" s="4" t="str">
        <f t="shared" si="38"/>
        <v>B</v>
      </c>
      <c r="L794">
        <f>IF(Helper!$E$3="All",1,IF(C794=Helper!$E$3,1,0))</f>
        <v>1</v>
      </c>
    </row>
    <row r="795" spans="1:12" x14ac:dyDescent="0.3">
      <c r="A795" s="3" t="s">
        <v>416</v>
      </c>
      <c r="B795" s="3" t="s">
        <v>415</v>
      </c>
      <c r="C795" s="3" t="s">
        <v>3</v>
      </c>
      <c r="D795" s="7">
        <v>0.68</v>
      </c>
      <c r="E795" s="5">
        <v>41</v>
      </c>
      <c r="F795" s="5">
        <v>84</v>
      </c>
      <c r="G795" s="5">
        <v>71</v>
      </c>
      <c r="H795" s="5">
        <v>42</v>
      </c>
      <c r="I795" s="6">
        <f t="shared" si="36"/>
        <v>-29</v>
      </c>
      <c r="J795">
        <f t="shared" si="37"/>
        <v>51.45</v>
      </c>
      <c r="K795" s="4" t="str">
        <f t="shared" si="38"/>
        <v>F</v>
      </c>
      <c r="L795">
        <f>IF(Helper!$E$3="All",1,IF(C795=Helper!$E$3,1,0))</f>
        <v>1</v>
      </c>
    </row>
    <row r="796" spans="1:12" x14ac:dyDescent="0.3">
      <c r="A796" s="3" t="s">
        <v>414</v>
      </c>
      <c r="B796" s="3" t="s">
        <v>413</v>
      </c>
      <c r="C796" s="3" t="s">
        <v>8</v>
      </c>
      <c r="D796" s="7">
        <v>0.74</v>
      </c>
      <c r="E796" s="5">
        <v>64</v>
      </c>
      <c r="F796" s="5">
        <v>46</v>
      </c>
      <c r="G796" s="5">
        <v>59</v>
      </c>
      <c r="H796" s="5">
        <v>46</v>
      </c>
      <c r="I796" s="6" t="str">
        <f t="shared" si="36"/>
        <v/>
      </c>
      <c r="J796">
        <f t="shared" si="37"/>
        <v>57.5</v>
      </c>
      <c r="K796" s="4" t="str">
        <f t="shared" si="38"/>
        <v>F</v>
      </c>
      <c r="L796">
        <f>IF(Helper!$E$3="All",1,IF(C796=Helper!$E$3,1,0))</f>
        <v>1</v>
      </c>
    </row>
    <row r="797" spans="1:12" x14ac:dyDescent="0.3">
      <c r="A797" s="3" t="s">
        <v>412</v>
      </c>
      <c r="B797" s="3" t="s">
        <v>411</v>
      </c>
      <c r="C797" s="3" t="s">
        <v>0</v>
      </c>
      <c r="D797" s="7">
        <v>0.99</v>
      </c>
      <c r="E797" s="5">
        <v>100</v>
      </c>
      <c r="F797" s="5">
        <v>53</v>
      </c>
      <c r="G797" s="5">
        <v>89</v>
      </c>
      <c r="H797" s="5">
        <v>97</v>
      </c>
      <c r="I797" s="6" t="str">
        <f t="shared" si="36"/>
        <v/>
      </c>
      <c r="J797">
        <f t="shared" si="37"/>
        <v>92.05</v>
      </c>
      <c r="K797" s="4" t="str">
        <f t="shared" si="38"/>
        <v>A</v>
      </c>
      <c r="L797">
        <f>IF(Helper!$E$3="All",1,IF(C797=Helper!$E$3,1,0))</f>
        <v>1</v>
      </c>
    </row>
    <row r="798" spans="1:12" x14ac:dyDescent="0.3">
      <c r="A798" s="3" t="s">
        <v>410</v>
      </c>
      <c r="B798" s="3" t="s">
        <v>409</v>
      </c>
      <c r="C798" s="3" t="s">
        <v>8</v>
      </c>
      <c r="D798" s="7">
        <v>0.84</v>
      </c>
      <c r="E798" s="5">
        <v>93</v>
      </c>
      <c r="F798" s="5">
        <v>48</v>
      </c>
      <c r="G798" s="5">
        <v>50</v>
      </c>
      <c r="H798" s="5">
        <v>88</v>
      </c>
      <c r="I798" s="6">
        <f t="shared" si="36"/>
        <v>38</v>
      </c>
      <c r="J798">
        <f t="shared" si="37"/>
        <v>72.25</v>
      </c>
      <c r="K798" s="4" t="str">
        <f t="shared" si="38"/>
        <v>C</v>
      </c>
      <c r="L798">
        <f>IF(Helper!$E$3="All",1,IF(C798=Helper!$E$3,1,0))</f>
        <v>1</v>
      </c>
    </row>
    <row r="799" spans="1:12" x14ac:dyDescent="0.3">
      <c r="A799" s="3" t="s">
        <v>408</v>
      </c>
      <c r="B799" s="3" t="s">
        <v>407</v>
      </c>
      <c r="C799" s="3" t="s">
        <v>0</v>
      </c>
      <c r="D799" s="7">
        <v>0.64</v>
      </c>
      <c r="E799" s="5">
        <v>72</v>
      </c>
      <c r="F799" s="5">
        <v>98</v>
      </c>
      <c r="G799" s="5">
        <v>54</v>
      </c>
      <c r="H799" s="5">
        <v>78</v>
      </c>
      <c r="I799" s="6">
        <f t="shared" si="36"/>
        <v>24</v>
      </c>
      <c r="J799">
        <f t="shared" si="37"/>
        <v>61.300000000000004</v>
      </c>
      <c r="K799" s="4" t="str">
        <f t="shared" si="38"/>
        <v>D</v>
      </c>
      <c r="L799">
        <f>IF(Helper!$E$3="All",1,IF(C799=Helper!$E$3,1,0))</f>
        <v>1</v>
      </c>
    </row>
    <row r="800" spans="1:12" x14ac:dyDescent="0.3">
      <c r="A800" s="3" t="s">
        <v>406</v>
      </c>
      <c r="B800" s="3" t="s">
        <v>405</v>
      </c>
      <c r="C800" s="3" t="s">
        <v>8</v>
      </c>
      <c r="D800" s="7">
        <v>0.70000000000000007</v>
      </c>
      <c r="E800" s="5">
        <v>75</v>
      </c>
      <c r="F800" s="5">
        <v>99</v>
      </c>
      <c r="G800" s="5">
        <v>71</v>
      </c>
      <c r="H800" s="5">
        <v>92</v>
      </c>
      <c r="I800" s="6">
        <f t="shared" si="36"/>
        <v>21</v>
      </c>
      <c r="J800">
        <f t="shared" si="37"/>
        <v>73.900000000000006</v>
      </c>
      <c r="K800" s="4" t="str">
        <f t="shared" si="38"/>
        <v>C</v>
      </c>
      <c r="L800">
        <f>IF(Helper!$E$3="All",1,IF(C800=Helper!$E$3,1,0))</f>
        <v>1</v>
      </c>
    </row>
    <row r="801" spans="1:12" x14ac:dyDescent="0.3">
      <c r="A801" s="3" t="s">
        <v>404</v>
      </c>
      <c r="B801" s="3" t="s">
        <v>403</v>
      </c>
      <c r="C801" s="3" t="s">
        <v>0</v>
      </c>
      <c r="D801" s="7">
        <v>0.93</v>
      </c>
      <c r="E801" s="5">
        <v>70</v>
      </c>
      <c r="F801" s="5">
        <v>94</v>
      </c>
      <c r="G801" s="5">
        <v>67</v>
      </c>
      <c r="H801" s="5">
        <v>40</v>
      </c>
      <c r="I801" s="6">
        <f t="shared" si="36"/>
        <v>-27</v>
      </c>
      <c r="J801">
        <f t="shared" si="37"/>
        <v>61</v>
      </c>
      <c r="K801" s="4" t="str">
        <f t="shared" si="38"/>
        <v>D</v>
      </c>
      <c r="L801">
        <f>IF(Helper!$E$3="All",1,IF(C801=Helper!$E$3,1,0))</f>
        <v>1</v>
      </c>
    </row>
    <row r="802" spans="1:12" x14ac:dyDescent="0.3">
      <c r="A802" s="3" t="s">
        <v>402</v>
      </c>
      <c r="B802" s="3" t="s">
        <v>401</v>
      </c>
      <c r="C802" s="3" t="s">
        <v>8</v>
      </c>
      <c r="D802" s="7">
        <v>0.83000000000000007</v>
      </c>
      <c r="E802" s="5">
        <v>53</v>
      </c>
      <c r="F802" s="5">
        <v>96</v>
      </c>
      <c r="G802" s="5">
        <v>61</v>
      </c>
      <c r="H802" s="5">
        <v>88</v>
      </c>
      <c r="I802" s="6">
        <f t="shared" si="36"/>
        <v>27</v>
      </c>
      <c r="J802">
        <f t="shared" si="37"/>
        <v>77.05</v>
      </c>
      <c r="K802" s="4" t="str">
        <f t="shared" si="38"/>
        <v>C</v>
      </c>
      <c r="L802">
        <f>IF(Helper!$E$3="All",1,IF(C802=Helper!$E$3,1,0))</f>
        <v>1</v>
      </c>
    </row>
    <row r="803" spans="1:12" x14ac:dyDescent="0.3">
      <c r="A803" s="3" t="s">
        <v>400</v>
      </c>
      <c r="B803" s="3" t="s">
        <v>399</v>
      </c>
      <c r="C803" s="3" t="s">
        <v>17</v>
      </c>
      <c r="D803" s="7">
        <v>0.74</v>
      </c>
      <c r="E803" s="5">
        <v>40</v>
      </c>
      <c r="F803" s="5">
        <v>99</v>
      </c>
      <c r="G803" s="5">
        <v>80</v>
      </c>
      <c r="H803" s="5">
        <v>56</v>
      </c>
      <c r="I803" s="6" t="str">
        <f t="shared" si="36"/>
        <v/>
      </c>
      <c r="J803">
        <f t="shared" si="37"/>
        <v>71.350000000000009</v>
      </c>
      <c r="K803" s="4" t="str">
        <f t="shared" si="38"/>
        <v>C</v>
      </c>
      <c r="L803">
        <f>IF(Helper!$E$3="All",1,IF(C803=Helper!$E$3,1,0))</f>
        <v>1</v>
      </c>
    </row>
    <row r="804" spans="1:12" x14ac:dyDescent="0.3">
      <c r="A804" s="3" t="s">
        <v>398</v>
      </c>
      <c r="B804" s="3" t="s">
        <v>397</v>
      </c>
      <c r="C804" s="3" t="s">
        <v>8</v>
      </c>
      <c r="D804" s="7">
        <v>0.97</v>
      </c>
      <c r="E804" s="5">
        <v>85</v>
      </c>
      <c r="F804" s="5">
        <v>58</v>
      </c>
      <c r="G804" s="5">
        <v>56</v>
      </c>
      <c r="H804" s="5">
        <v>82</v>
      </c>
      <c r="I804" s="6">
        <f t="shared" si="36"/>
        <v>26</v>
      </c>
      <c r="J804">
        <f t="shared" si="37"/>
        <v>72.349999999999994</v>
      </c>
      <c r="K804" s="4" t="str">
        <f t="shared" si="38"/>
        <v>C</v>
      </c>
      <c r="L804">
        <f>IF(Helper!$E$3="All",1,IF(C804=Helper!$E$3,1,0))</f>
        <v>1</v>
      </c>
    </row>
    <row r="805" spans="1:12" x14ac:dyDescent="0.3">
      <c r="A805" s="3" t="s">
        <v>396</v>
      </c>
      <c r="B805" s="3" t="s">
        <v>395</v>
      </c>
      <c r="C805" s="3" t="s">
        <v>8</v>
      </c>
      <c r="D805" s="7">
        <v>0.67</v>
      </c>
      <c r="E805" s="5">
        <v>55</v>
      </c>
      <c r="F805" s="5">
        <v>86</v>
      </c>
      <c r="G805" s="5">
        <v>98</v>
      </c>
      <c r="H805" s="5">
        <v>64</v>
      </c>
      <c r="I805" s="6" t="str">
        <f t="shared" si="36"/>
        <v/>
      </c>
      <c r="J805">
        <f t="shared" si="37"/>
        <v>71.849999999999994</v>
      </c>
      <c r="K805" s="4" t="str">
        <f t="shared" si="38"/>
        <v>C</v>
      </c>
      <c r="L805">
        <f>IF(Helper!$E$3="All",1,IF(C805=Helper!$E$3,1,0))</f>
        <v>1</v>
      </c>
    </row>
    <row r="806" spans="1:12" x14ac:dyDescent="0.3">
      <c r="A806" s="3" t="s">
        <v>394</v>
      </c>
      <c r="B806" s="3" t="s">
        <v>393</v>
      </c>
      <c r="C806" s="3" t="s">
        <v>17</v>
      </c>
      <c r="D806" s="7">
        <v>0.64</v>
      </c>
      <c r="E806" s="5">
        <v>93</v>
      </c>
      <c r="F806" s="5">
        <v>91</v>
      </c>
      <c r="G806" s="5">
        <v>65</v>
      </c>
      <c r="H806" s="5">
        <v>98</v>
      </c>
      <c r="I806" s="6">
        <f t="shared" si="36"/>
        <v>33</v>
      </c>
      <c r="J806">
        <f t="shared" si="37"/>
        <v>74.400000000000006</v>
      </c>
      <c r="K806" s="4" t="str">
        <f t="shared" si="38"/>
        <v>C</v>
      </c>
      <c r="L806">
        <f>IF(Helper!$E$3="All",1,IF(C806=Helper!$E$3,1,0))</f>
        <v>1</v>
      </c>
    </row>
    <row r="807" spans="1:12" x14ac:dyDescent="0.3">
      <c r="A807" s="3" t="s">
        <v>392</v>
      </c>
      <c r="B807" s="3" t="s">
        <v>391</v>
      </c>
      <c r="C807" s="3" t="s">
        <v>3</v>
      </c>
      <c r="D807" s="7">
        <v>0.85</v>
      </c>
      <c r="E807" s="5">
        <v>85</v>
      </c>
      <c r="F807" s="5">
        <v>53</v>
      </c>
      <c r="G807" s="5">
        <v>83</v>
      </c>
      <c r="H807" s="5">
        <v>100</v>
      </c>
      <c r="I807" s="6">
        <f t="shared" si="36"/>
        <v>17</v>
      </c>
      <c r="J807">
        <f t="shared" si="37"/>
        <v>90.1</v>
      </c>
      <c r="K807" s="4" t="str">
        <f t="shared" si="38"/>
        <v>A</v>
      </c>
      <c r="L807">
        <f>IF(Helper!$E$3="All",1,IF(C807=Helper!$E$3,1,0))</f>
        <v>1</v>
      </c>
    </row>
    <row r="808" spans="1:12" x14ac:dyDescent="0.3">
      <c r="A808" s="3" t="s">
        <v>390</v>
      </c>
      <c r="B808" s="3" t="s">
        <v>389</v>
      </c>
      <c r="C808" s="3" t="s">
        <v>3</v>
      </c>
      <c r="D808" s="7">
        <v>0.77</v>
      </c>
      <c r="E808" s="5">
        <v>100</v>
      </c>
      <c r="F808" s="5">
        <v>95</v>
      </c>
      <c r="G808" s="5">
        <v>46</v>
      </c>
      <c r="H808" s="5">
        <v>42</v>
      </c>
      <c r="I808" s="6" t="str">
        <f t="shared" si="36"/>
        <v/>
      </c>
      <c r="J808">
        <f t="shared" si="37"/>
        <v>54.95</v>
      </c>
      <c r="K808" s="4" t="str">
        <f t="shared" si="38"/>
        <v>F</v>
      </c>
      <c r="L808">
        <f>IF(Helper!$E$3="All",1,IF(C808=Helper!$E$3,1,0))</f>
        <v>1</v>
      </c>
    </row>
    <row r="809" spans="1:12" x14ac:dyDescent="0.3">
      <c r="A809" s="3" t="s">
        <v>388</v>
      </c>
      <c r="B809" s="3" t="s">
        <v>387</v>
      </c>
      <c r="C809" s="3" t="s">
        <v>8</v>
      </c>
      <c r="D809" s="7">
        <v>0.65</v>
      </c>
      <c r="E809" s="5">
        <v>91</v>
      </c>
      <c r="F809" s="5">
        <v>77</v>
      </c>
      <c r="G809" s="5">
        <v>81</v>
      </c>
      <c r="H809" s="5">
        <v>54</v>
      </c>
      <c r="I809" s="6" t="str">
        <f t="shared" si="36"/>
        <v/>
      </c>
      <c r="J809">
        <f t="shared" si="37"/>
        <v>62.400000000000006</v>
      </c>
      <c r="K809" s="4" t="str">
        <f t="shared" si="38"/>
        <v>D</v>
      </c>
      <c r="L809">
        <f>IF(Helper!$E$3="All",1,IF(C809=Helper!$E$3,1,0))</f>
        <v>1</v>
      </c>
    </row>
    <row r="810" spans="1:12" x14ac:dyDescent="0.3">
      <c r="A810" s="3" t="s">
        <v>386</v>
      </c>
      <c r="B810" s="3" t="s">
        <v>385</v>
      </c>
      <c r="C810" s="3" t="s">
        <v>17</v>
      </c>
      <c r="D810" s="7">
        <v>0.96</v>
      </c>
      <c r="E810" s="5">
        <v>42</v>
      </c>
      <c r="F810" s="5">
        <v>92</v>
      </c>
      <c r="G810" s="5">
        <v>96</v>
      </c>
      <c r="H810" s="5">
        <v>68</v>
      </c>
      <c r="I810" s="6" t="str">
        <f t="shared" si="36"/>
        <v/>
      </c>
      <c r="J810">
        <f t="shared" si="37"/>
        <v>82.3</v>
      </c>
      <c r="K810" s="4" t="str">
        <f t="shared" si="38"/>
        <v>B</v>
      </c>
      <c r="L810">
        <f>IF(Helper!$E$3="All",1,IF(C810=Helper!$E$3,1,0))</f>
        <v>1</v>
      </c>
    </row>
    <row r="811" spans="1:12" x14ac:dyDescent="0.3">
      <c r="A811" s="3" t="s">
        <v>384</v>
      </c>
      <c r="B811" s="3" t="s">
        <v>383</v>
      </c>
      <c r="C811" s="3" t="s">
        <v>8</v>
      </c>
      <c r="D811" s="7">
        <v>0.72</v>
      </c>
      <c r="E811" s="5">
        <v>74</v>
      </c>
      <c r="F811" s="5">
        <v>100</v>
      </c>
      <c r="G811" s="5">
        <v>65</v>
      </c>
      <c r="H811" s="5">
        <v>92</v>
      </c>
      <c r="I811" s="6">
        <f t="shared" si="36"/>
        <v>27</v>
      </c>
      <c r="J811">
        <f t="shared" si="37"/>
        <v>81.5</v>
      </c>
      <c r="K811" s="4" t="str">
        <f t="shared" si="38"/>
        <v>B</v>
      </c>
      <c r="L811">
        <f>IF(Helper!$E$3="All",1,IF(C811=Helper!$E$3,1,0))</f>
        <v>1</v>
      </c>
    </row>
    <row r="812" spans="1:12" x14ac:dyDescent="0.3">
      <c r="A812" s="3" t="s">
        <v>382</v>
      </c>
      <c r="B812" s="3" t="s">
        <v>381</v>
      </c>
      <c r="C812" s="3" t="s">
        <v>0</v>
      </c>
      <c r="D812" s="7">
        <v>0.87</v>
      </c>
      <c r="E812" s="5">
        <v>80</v>
      </c>
      <c r="F812" s="5">
        <v>75</v>
      </c>
      <c r="G812" s="5">
        <v>64</v>
      </c>
      <c r="H812" s="5">
        <v>82</v>
      </c>
      <c r="I812" s="6">
        <f t="shared" si="36"/>
        <v>18</v>
      </c>
      <c r="J812">
        <f t="shared" si="37"/>
        <v>76.150000000000006</v>
      </c>
      <c r="K812" s="4" t="str">
        <f t="shared" si="38"/>
        <v>C</v>
      </c>
      <c r="L812">
        <f>IF(Helper!$E$3="All",1,IF(C812=Helper!$E$3,1,0))</f>
        <v>1</v>
      </c>
    </row>
    <row r="813" spans="1:12" x14ac:dyDescent="0.3">
      <c r="A813" s="3" t="s">
        <v>380</v>
      </c>
      <c r="B813" s="3" t="s">
        <v>379</v>
      </c>
      <c r="C813" s="3" t="s">
        <v>0</v>
      </c>
      <c r="D813" s="7">
        <v>0.64</v>
      </c>
      <c r="E813" s="5">
        <v>45</v>
      </c>
      <c r="F813" s="5">
        <v>79</v>
      </c>
      <c r="G813" s="5">
        <v>49</v>
      </c>
      <c r="H813" s="5">
        <v>71</v>
      </c>
      <c r="I813" s="6">
        <f t="shared" si="36"/>
        <v>22</v>
      </c>
      <c r="J813">
        <f t="shared" si="37"/>
        <v>54.2</v>
      </c>
      <c r="K813" s="4" t="str">
        <f t="shared" si="38"/>
        <v>F</v>
      </c>
      <c r="L813">
        <f>IF(Helper!$E$3="All",1,IF(C813=Helper!$E$3,1,0))</f>
        <v>1</v>
      </c>
    </row>
    <row r="814" spans="1:12" x14ac:dyDescent="0.3">
      <c r="A814" s="3" t="s">
        <v>378</v>
      </c>
      <c r="B814" s="3" t="s">
        <v>377</v>
      </c>
      <c r="C814" s="3" t="s">
        <v>8</v>
      </c>
      <c r="D814" s="7">
        <v>0.72</v>
      </c>
      <c r="E814" s="5">
        <v>64</v>
      </c>
      <c r="F814" s="5">
        <v>56</v>
      </c>
      <c r="G814" s="5">
        <v>98</v>
      </c>
      <c r="H814" s="5">
        <v>65</v>
      </c>
      <c r="I814" s="6" t="str">
        <f t="shared" si="36"/>
        <v/>
      </c>
      <c r="J814">
        <f t="shared" si="37"/>
        <v>81.2</v>
      </c>
      <c r="K814" s="4" t="str">
        <f t="shared" si="38"/>
        <v>B</v>
      </c>
      <c r="L814">
        <f>IF(Helper!$E$3="All",1,IF(C814=Helper!$E$3,1,0))</f>
        <v>1</v>
      </c>
    </row>
    <row r="815" spans="1:12" x14ac:dyDescent="0.3">
      <c r="A815" s="3" t="s">
        <v>376</v>
      </c>
      <c r="B815" s="3" t="s">
        <v>375</v>
      </c>
      <c r="C815" s="3" t="s">
        <v>3</v>
      </c>
      <c r="D815" s="7">
        <v>0.76</v>
      </c>
      <c r="E815" s="5">
        <v>52</v>
      </c>
      <c r="F815" s="5">
        <v>69</v>
      </c>
      <c r="G815" s="5">
        <v>84</v>
      </c>
      <c r="H815" s="5">
        <v>99</v>
      </c>
      <c r="I815" s="6">
        <f t="shared" si="36"/>
        <v>15</v>
      </c>
      <c r="J815">
        <f t="shared" si="37"/>
        <v>89.25</v>
      </c>
      <c r="K815" s="4" t="str">
        <f t="shared" si="38"/>
        <v>B</v>
      </c>
      <c r="L815">
        <f>IF(Helper!$E$3="All",1,IF(C815=Helper!$E$3,1,0))</f>
        <v>1</v>
      </c>
    </row>
    <row r="816" spans="1:12" x14ac:dyDescent="0.3">
      <c r="A816" s="3" t="s">
        <v>374</v>
      </c>
      <c r="B816" s="3" t="s">
        <v>373</v>
      </c>
      <c r="C816" s="3" t="s">
        <v>3</v>
      </c>
      <c r="D816" s="7">
        <v>0.99</v>
      </c>
      <c r="E816" s="5">
        <v>92</v>
      </c>
      <c r="F816" s="5">
        <v>48</v>
      </c>
      <c r="G816" s="5">
        <v>58</v>
      </c>
      <c r="H816" s="5">
        <v>55</v>
      </c>
      <c r="I816" s="6" t="str">
        <f t="shared" si="36"/>
        <v/>
      </c>
      <c r="J816">
        <f t="shared" si="37"/>
        <v>62.2</v>
      </c>
      <c r="K816" s="4" t="str">
        <f t="shared" si="38"/>
        <v>D</v>
      </c>
      <c r="L816">
        <f>IF(Helper!$E$3="All",1,IF(C816=Helper!$E$3,1,0))</f>
        <v>1</v>
      </c>
    </row>
    <row r="817" spans="1:12" x14ac:dyDescent="0.3">
      <c r="A817" s="3" t="s">
        <v>372</v>
      </c>
      <c r="B817" s="3" t="s">
        <v>371</v>
      </c>
      <c r="C817" s="3" t="s">
        <v>8</v>
      </c>
      <c r="D817" s="7">
        <v>0.91</v>
      </c>
      <c r="E817" s="5">
        <v>73</v>
      </c>
      <c r="F817" s="5">
        <v>72</v>
      </c>
      <c r="G817" s="5">
        <v>50</v>
      </c>
      <c r="H817" s="5">
        <v>64</v>
      </c>
      <c r="I817" s="6">
        <f t="shared" si="36"/>
        <v>14</v>
      </c>
      <c r="J817">
        <f t="shared" si="37"/>
        <v>62.85</v>
      </c>
      <c r="K817" s="4" t="str">
        <f t="shared" si="38"/>
        <v>D</v>
      </c>
      <c r="L817">
        <f>IF(Helper!$E$3="All",1,IF(C817=Helper!$E$3,1,0))</f>
        <v>1</v>
      </c>
    </row>
    <row r="818" spans="1:12" x14ac:dyDescent="0.3">
      <c r="A818" s="3" t="s">
        <v>370</v>
      </c>
      <c r="B818" s="3" t="s">
        <v>369</v>
      </c>
      <c r="C818" s="3" t="s">
        <v>8</v>
      </c>
      <c r="D818" s="7">
        <v>0.88</v>
      </c>
      <c r="E818" s="5">
        <v>47</v>
      </c>
      <c r="F818" s="5">
        <v>95</v>
      </c>
      <c r="G818" s="5">
        <v>52</v>
      </c>
      <c r="H818" s="5">
        <v>93</v>
      </c>
      <c r="I818" s="6">
        <f t="shared" si="36"/>
        <v>41</v>
      </c>
      <c r="J818">
        <f t="shared" si="37"/>
        <v>75.100000000000009</v>
      </c>
      <c r="K818" s="4" t="str">
        <f t="shared" si="38"/>
        <v>C</v>
      </c>
      <c r="L818">
        <f>IF(Helper!$E$3="All",1,IF(C818=Helper!$E$3,1,0))</f>
        <v>1</v>
      </c>
    </row>
    <row r="819" spans="1:12" x14ac:dyDescent="0.3">
      <c r="A819" s="3" t="s">
        <v>368</v>
      </c>
      <c r="B819" s="3" t="s">
        <v>367</v>
      </c>
      <c r="C819" s="3" t="s">
        <v>0</v>
      </c>
      <c r="D819" s="7">
        <v>0.62</v>
      </c>
      <c r="E819" s="5">
        <v>60</v>
      </c>
      <c r="F819" s="5">
        <v>91</v>
      </c>
      <c r="G819" s="5">
        <v>92</v>
      </c>
      <c r="H819" s="5">
        <v>67</v>
      </c>
      <c r="I819" s="6" t="str">
        <f t="shared" si="36"/>
        <v/>
      </c>
      <c r="J819">
        <f t="shared" si="37"/>
        <v>71.150000000000006</v>
      </c>
      <c r="K819" s="4" t="str">
        <f t="shared" si="38"/>
        <v>C</v>
      </c>
      <c r="L819">
        <f>IF(Helper!$E$3="All",1,IF(C819=Helper!$E$3,1,0))</f>
        <v>1</v>
      </c>
    </row>
    <row r="820" spans="1:12" x14ac:dyDescent="0.3">
      <c r="A820" s="3" t="s">
        <v>366</v>
      </c>
      <c r="B820" s="3" t="s">
        <v>365</v>
      </c>
      <c r="C820" s="3" t="s">
        <v>3</v>
      </c>
      <c r="D820" s="7">
        <v>0.99</v>
      </c>
      <c r="E820" s="5">
        <v>73</v>
      </c>
      <c r="F820" s="5">
        <v>64</v>
      </c>
      <c r="G820" s="5">
        <v>47</v>
      </c>
      <c r="H820" s="5">
        <v>48</v>
      </c>
      <c r="I820" s="6" t="str">
        <f t="shared" si="36"/>
        <v/>
      </c>
      <c r="J820">
        <f t="shared" si="37"/>
        <v>54.849999999999994</v>
      </c>
      <c r="K820" s="4" t="str">
        <f t="shared" si="38"/>
        <v>F</v>
      </c>
      <c r="L820">
        <f>IF(Helper!$E$3="All",1,IF(C820=Helper!$E$3,1,0))</f>
        <v>1</v>
      </c>
    </row>
    <row r="821" spans="1:12" x14ac:dyDescent="0.3">
      <c r="A821" s="3" t="s">
        <v>364</v>
      </c>
      <c r="B821" s="3" t="s">
        <v>363</v>
      </c>
      <c r="C821" s="3" t="s">
        <v>8</v>
      </c>
      <c r="D821" s="7">
        <v>0.93</v>
      </c>
      <c r="E821" s="5">
        <v>43</v>
      </c>
      <c r="F821" s="5">
        <v>53</v>
      </c>
      <c r="G821" s="5">
        <v>79</v>
      </c>
      <c r="H821" s="5">
        <v>95</v>
      </c>
      <c r="I821" s="6">
        <f t="shared" si="36"/>
        <v>16</v>
      </c>
      <c r="J821">
        <f t="shared" si="37"/>
        <v>84.4</v>
      </c>
      <c r="K821" s="4" t="str">
        <f t="shared" si="38"/>
        <v>B</v>
      </c>
      <c r="L821">
        <f>IF(Helper!$E$3="All",1,IF(C821=Helper!$E$3,1,0))</f>
        <v>1</v>
      </c>
    </row>
    <row r="822" spans="1:12" x14ac:dyDescent="0.3">
      <c r="A822" s="3" t="s">
        <v>362</v>
      </c>
      <c r="B822" s="3" t="s">
        <v>361</v>
      </c>
      <c r="C822" s="3" t="s">
        <v>0</v>
      </c>
      <c r="D822" s="7">
        <v>0.99</v>
      </c>
      <c r="E822" s="5">
        <v>64</v>
      </c>
      <c r="F822" s="5">
        <v>50</v>
      </c>
      <c r="G822" s="5">
        <v>43</v>
      </c>
      <c r="H822" s="5">
        <v>95</v>
      </c>
      <c r="I822" s="6">
        <f t="shared" si="36"/>
        <v>52</v>
      </c>
      <c r="J822">
        <f t="shared" si="37"/>
        <v>70.900000000000006</v>
      </c>
      <c r="K822" s="4" t="str">
        <f t="shared" si="38"/>
        <v>C</v>
      </c>
      <c r="L822">
        <f>IF(Helper!$E$3="All",1,IF(C822=Helper!$E$3,1,0))</f>
        <v>1</v>
      </c>
    </row>
    <row r="823" spans="1:12" x14ac:dyDescent="0.3">
      <c r="A823" s="3" t="s">
        <v>360</v>
      </c>
      <c r="B823" s="3" t="s">
        <v>359</v>
      </c>
      <c r="C823" s="3" t="s">
        <v>3</v>
      </c>
      <c r="D823" s="7">
        <v>0.86</v>
      </c>
      <c r="E823" s="5">
        <v>54</v>
      </c>
      <c r="F823" s="5">
        <v>92</v>
      </c>
      <c r="G823" s="5">
        <v>86</v>
      </c>
      <c r="H823" s="5">
        <v>40</v>
      </c>
      <c r="I823" s="6">
        <f t="shared" si="36"/>
        <v>-46</v>
      </c>
      <c r="J823">
        <f t="shared" si="37"/>
        <v>67.7</v>
      </c>
      <c r="K823" s="4" t="str">
        <f t="shared" si="38"/>
        <v>D</v>
      </c>
      <c r="L823">
        <f>IF(Helper!$E$3="All",1,IF(C823=Helper!$E$3,1,0))</f>
        <v>1</v>
      </c>
    </row>
    <row r="824" spans="1:12" x14ac:dyDescent="0.3">
      <c r="A824" s="3" t="s">
        <v>358</v>
      </c>
      <c r="B824" s="3" t="s">
        <v>357</v>
      </c>
      <c r="C824" s="3" t="s">
        <v>17</v>
      </c>
      <c r="D824" s="7">
        <v>0.72</v>
      </c>
      <c r="E824" s="5">
        <v>43</v>
      </c>
      <c r="F824" s="5">
        <v>74</v>
      </c>
      <c r="G824" s="5">
        <v>70</v>
      </c>
      <c r="H824" s="5">
        <v>68</v>
      </c>
      <c r="I824" s="6" t="str">
        <f t="shared" si="36"/>
        <v/>
      </c>
      <c r="J824">
        <f t="shared" si="37"/>
        <v>71.050000000000011</v>
      </c>
      <c r="K824" s="4" t="str">
        <f t="shared" si="38"/>
        <v>C</v>
      </c>
      <c r="L824">
        <f>IF(Helper!$E$3="All",1,IF(C824=Helper!$E$3,1,0))</f>
        <v>1</v>
      </c>
    </row>
    <row r="825" spans="1:12" x14ac:dyDescent="0.3">
      <c r="A825" s="3" t="s">
        <v>356</v>
      </c>
      <c r="B825" s="3" t="s">
        <v>355</v>
      </c>
      <c r="C825" s="3" t="s">
        <v>0</v>
      </c>
      <c r="D825" s="7">
        <v>0.92</v>
      </c>
      <c r="E825" s="5">
        <v>84</v>
      </c>
      <c r="F825" s="5">
        <v>80</v>
      </c>
      <c r="G825" s="5">
        <v>67</v>
      </c>
      <c r="H825" s="5">
        <v>96</v>
      </c>
      <c r="I825" s="6">
        <f t="shared" si="36"/>
        <v>29</v>
      </c>
      <c r="J825">
        <f t="shared" si="37"/>
        <v>83.4</v>
      </c>
      <c r="K825" s="4" t="str">
        <f t="shared" si="38"/>
        <v>B</v>
      </c>
      <c r="L825">
        <f>IF(Helper!$E$3="All",1,IF(C825=Helper!$E$3,1,0))</f>
        <v>1</v>
      </c>
    </row>
    <row r="826" spans="1:12" x14ac:dyDescent="0.3">
      <c r="A826" s="3" t="s">
        <v>354</v>
      </c>
      <c r="B826" s="3" t="s">
        <v>353</v>
      </c>
      <c r="C826" s="3" t="s">
        <v>3</v>
      </c>
      <c r="D826" s="7">
        <v>0.65</v>
      </c>
      <c r="E826" s="5">
        <v>99</v>
      </c>
      <c r="F826" s="5">
        <v>98</v>
      </c>
      <c r="G826" s="5">
        <v>50</v>
      </c>
      <c r="H826" s="5">
        <v>61</v>
      </c>
      <c r="I826" s="6">
        <f t="shared" si="36"/>
        <v>11</v>
      </c>
      <c r="J826">
        <f t="shared" si="37"/>
        <v>54.25</v>
      </c>
      <c r="K826" s="4" t="str">
        <f t="shared" si="38"/>
        <v>F</v>
      </c>
      <c r="L826">
        <f>IF(Helper!$E$3="All",1,IF(C826=Helper!$E$3,1,0))</f>
        <v>1</v>
      </c>
    </row>
    <row r="827" spans="1:12" x14ac:dyDescent="0.3">
      <c r="A827" s="3" t="s">
        <v>352</v>
      </c>
      <c r="B827" s="3" t="s">
        <v>351</v>
      </c>
      <c r="C827" s="3" t="s">
        <v>3</v>
      </c>
      <c r="D827" s="7">
        <v>0.83000000000000007</v>
      </c>
      <c r="E827" s="5">
        <v>51</v>
      </c>
      <c r="F827" s="5">
        <v>53</v>
      </c>
      <c r="G827" s="5">
        <v>82</v>
      </c>
      <c r="H827" s="5">
        <v>55</v>
      </c>
      <c r="I827" s="6" t="str">
        <f t="shared" si="36"/>
        <v/>
      </c>
      <c r="J827">
        <f t="shared" si="37"/>
        <v>70</v>
      </c>
      <c r="K827" s="4" t="str">
        <f t="shared" si="38"/>
        <v>C</v>
      </c>
      <c r="L827">
        <f>IF(Helper!$E$3="All",1,IF(C827=Helper!$E$3,1,0))</f>
        <v>1</v>
      </c>
    </row>
    <row r="828" spans="1:12" x14ac:dyDescent="0.3">
      <c r="A828" s="3" t="s">
        <v>350</v>
      </c>
      <c r="B828" s="3" t="s">
        <v>349</v>
      </c>
      <c r="C828" s="3" t="s">
        <v>0</v>
      </c>
      <c r="D828" s="7">
        <v>0.78</v>
      </c>
      <c r="E828" s="5">
        <v>71</v>
      </c>
      <c r="F828" s="5">
        <v>69</v>
      </c>
      <c r="G828" s="5">
        <v>40</v>
      </c>
      <c r="H828" s="5">
        <v>80</v>
      </c>
      <c r="I828" s="6">
        <f t="shared" si="36"/>
        <v>40</v>
      </c>
      <c r="J828">
        <f t="shared" si="37"/>
        <v>65</v>
      </c>
      <c r="K828" s="4" t="str">
        <f t="shared" si="38"/>
        <v>D</v>
      </c>
      <c r="L828">
        <f>IF(Helper!$E$3="All",1,IF(C828=Helper!$E$3,1,0))</f>
        <v>1</v>
      </c>
    </row>
    <row r="829" spans="1:12" x14ac:dyDescent="0.3">
      <c r="A829" s="3" t="s">
        <v>348</v>
      </c>
      <c r="B829" s="3" t="s">
        <v>347</v>
      </c>
      <c r="C829" s="3" t="s">
        <v>17</v>
      </c>
      <c r="D829" s="7">
        <v>0.75</v>
      </c>
      <c r="E829" s="5">
        <v>71</v>
      </c>
      <c r="F829" s="5">
        <v>80</v>
      </c>
      <c r="G829" s="5">
        <v>88</v>
      </c>
      <c r="H829" s="5">
        <v>90</v>
      </c>
      <c r="I829" s="6" t="str">
        <f t="shared" si="36"/>
        <v/>
      </c>
      <c r="J829">
        <f t="shared" si="37"/>
        <v>88.75</v>
      </c>
      <c r="K829" s="4" t="str">
        <f t="shared" si="38"/>
        <v>B</v>
      </c>
      <c r="L829">
        <f>IF(Helper!$E$3="All",1,IF(C829=Helper!$E$3,1,0))</f>
        <v>1</v>
      </c>
    </row>
    <row r="830" spans="1:12" x14ac:dyDescent="0.3">
      <c r="A830" s="3" t="s">
        <v>346</v>
      </c>
      <c r="B830" s="3" t="s">
        <v>345</v>
      </c>
      <c r="C830" s="3" t="s">
        <v>0</v>
      </c>
      <c r="D830" s="7">
        <v>0.99</v>
      </c>
      <c r="E830" s="5">
        <v>67</v>
      </c>
      <c r="F830" s="5">
        <v>43</v>
      </c>
      <c r="G830" s="5">
        <v>86</v>
      </c>
      <c r="H830" s="5">
        <v>83</v>
      </c>
      <c r="I830" s="6" t="str">
        <f t="shared" si="36"/>
        <v/>
      </c>
      <c r="J830">
        <f t="shared" si="37"/>
        <v>83.1</v>
      </c>
      <c r="K830" s="4" t="str">
        <f t="shared" si="38"/>
        <v>B</v>
      </c>
      <c r="L830">
        <f>IF(Helper!$E$3="All",1,IF(C830=Helper!$E$3,1,0))</f>
        <v>1</v>
      </c>
    </row>
    <row r="831" spans="1:12" x14ac:dyDescent="0.3">
      <c r="A831" s="3" t="s">
        <v>344</v>
      </c>
      <c r="B831" s="3" t="s">
        <v>343</v>
      </c>
      <c r="C831" s="3" t="s">
        <v>3</v>
      </c>
      <c r="D831" s="7">
        <v>0.87</v>
      </c>
      <c r="E831" s="5">
        <v>52</v>
      </c>
      <c r="F831" s="5">
        <v>98</v>
      </c>
      <c r="G831" s="5">
        <v>91</v>
      </c>
      <c r="H831" s="5">
        <v>90</v>
      </c>
      <c r="I831" s="6" t="str">
        <f t="shared" si="36"/>
        <v/>
      </c>
      <c r="J831">
        <f t="shared" si="37"/>
        <v>89.9</v>
      </c>
      <c r="K831" s="4" t="str">
        <f t="shared" si="38"/>
        <v>B</v>
      </c>
      <c r="L831">
        <f>IF(Helper!$E$3="All",1,IF(C831=Helper!$E$3,1,0))</f>
        <v>1</v>
      </c>
    </row>
    <row r="832" spans="1:12" x14ac:dyDescent="0.3">
      <c r="A832" s="3" t="s">
        <v>342</v>
      </c>
      <c r="B832" s="3" t="s">
        <v>341</v>
      </c>
      <c r="C832" s="3" t="s">
        <v>8</v>
      </c>
      <c r="D832" s="7">
        <v>0.92</v>
      </c>
      <c r="E832" s="5">
        <v>70</v>
      </c>
      <c r="F832" s="5">
        <v>43</v>
      </c>
      <c r="G832" s="5">
        <v>77</v>
      </c>
      <c r="H832" s="5">
        <v>93</v>
      </c>
      <c r="I832" s="6">
        <f t="shared" si="36"/>
        <v>16</v>
      </c>
      <c r="J832">
        <f t="shared" si="37"/>
        <v>83.65</v>
      </c>
      <c r="K832" s="4" t="str">
        <f t="shared" si="38"/>
        <v>B</v>
      </c>
      <c r="L832">
        <f>IF(Helper!$E$3="All",1,IF(C832=Helper!$E$3,1,0))</f>
        <v>1</v>
      </c>
    </row>
    <row r="833" spans="1:12" x14ac:dyDescent="0.3">
      <c r="A833" s="3" t="s">
        <v>340</v>
      </c>
      <c r="B833" s="3" t="s">
        <v>339</v>
      </c>
      <c r="C833" s="3" t="s">
        <v>8</v>
      </c>
      <c r="D833" s="7">
        <v>1</v>
      </c>
      <c r="E833" s="5">
        <v>53</v>
      </c>
      <c r="F833" s="5">
        <v>67</v>
      </c>
      <c r="G833" s="5">
        <v>63</v>
      </c>
      <c r="H833" s="5">
        <v>80</v>
      </c>
      <c r="I833" s="6">
        <f t="shared" si="36"/>
        <v>17</v>
      </c>
      <c r="J833">
        <f t="shared" si="37"/>
        <v>73.2</v>
      </c>
      <c r="K833" s="4" t="str">
        <f t="shared" si="38"/>
        <v>C</v>
      </c>
      <c r="L833">
        <f>IF(Helper!$E$3="All",1,IF(C833=Helper!$E$3,1,0))</f>
        <v>1</v>
      </c>
    </row>
    <row r="834" spans="1:12" x14ac:dyDescent="0.3">
      <c r="A834" s="3" t="s">
        <v>338</v>
      </c>
      <c r="B834" s="3" t="s">
        <v>337</v>
      </c>
      <c r="C834" s="3" t="s">
        <v>0</v>
      </c>
      <c r="D834" s="7">
        <v>0.72</v>
      </c>
      <c r="E834" s="5">
        <v>59</v>
      </c>
      <c r="F834" s="5">
        <v>47</v>
      </c>
      <c r="G834" s="5">
        <v>93</v>
      </c>
      <c r="H834" s="5">
        <v>46</v>
      </c>
      <c r="I834" s="6">
        <f t="shared" ref="I834:I897" si="39">IF(H834&gt;G834*1.15,H834-G834,IF(H834&lt;G834*0.65,H834-G834,""))</f>
        <v>-47</v>
      </c>
      <c r="J834">
        <f t="shared" ref="J834:J897" si="40">IF(ISBLANK(D834),"",IF(D834&gt;0.7,10,0)+(E834/100*5)+(F834/100*5)+(G834/100*40)+(H834/100*40))</f>
        <v>70.900000000000006</v>
      </c>
      <c r="K834" s="4" t="str">
        <f t="shared" ref="K834:K897" si="41">IF(J834&gt;=90,"A",IF(J834&gt;=80,"B",IF(J834&gt;=70,"C",IF(J834&gt;=60,"D","F"))))</f>
        <v>C</v>
      </c>
      <c r="L834">
        <f>IF(Helper!$E$3="All",1,IF(C834=Helper!$E$3,1,0))</f>
        <v>1</v>
      </c>
    </row>
    <row r="835" spans="1:12" x14ac:dyDescent="0.3">
      <c r="A835" s="3" t="s">
        <v>336</v>
      </c>
      <c r="B835" s="3" t="s">
        <v>335</v>
      </c>
      <c r="C835" s="3" t="s">
        <v>3</v>
      </c>
      <c r="D835" s="7">
        <v>0.84</v>
      </c>
      <c r="E835" s="5">
        <v>57</v>
      </c>
      <c r="F835" s="5">
        <v>41</v>
      </c>
      <c r="G835" s="5">
        <v>99</v>
      </c>
      <c r="H835" s="5">
        <v>53</v>
      </c>
      <c r="I835" s="6">
        <f t="shared" si="39"/>
        <v>-46</v>
      </c>
      <c r="J835">
        <f t="shared" si="40"/>
        <v>75.7</v>
      </c>
      <c r="K835" s="4" t="str">
        <f t="shared" si="41"/>
        <v>C</v>
      </c>
      <c r="L835">
        <f>IF(Helper!$E$3="All",1,IF(C835=Helper!$E$3,1,0))</f>
        <v>1</v>
      </c>
    </row>
    <row r="836" spans="1:12" x14ac:dyDescent="0.3">
      <c r="A836" s="3" t="s">
        <v>334</v>
      </c>
      <c r="B836" s="3" t="s">
        <v>333</v>
      </c>
      <c r="C836" s="3" t="s">
        <v>8</v>
      </c>
      <c r="D836" s="7">
        <v>0.95000000000000007</v>
      </c>
      <c r="E836" s="5">
        <v>68</v>
      </c>
      <c r="F836" s="5">
        <v>80</v>
      </c>
      <c r="G836" s="5">
        <v>96</v>
      </c>
      <c r="H836" s="5">
        <v>68</v>
      </c>
      <c r="I836" s="6" t="str">
        <f t="shared" si="39"/>
        <v/>
      </c>
      <c r="J836">
        <f t="shared" si="40"/>
        <v>83</v>
      </c>
      <c r="K836" s="4" t="str">
        <f t="shared" si="41"/>
        <v>B</v>
      </c>
      <c r="L836">
        <f>IF(Helper!$E$3="All",1,IF(C836=Helper!$E$3,1,0))</f>
        <v>1</v>
      </c>
    </row>
    <row r="837" spans="1:12" x14ac:dyDescent="0.3">
      <c r="A837" s="3" t="s">
        <v>332</v>
      </c>
      <c r="B837" s="3" t="s">
        <v>331</v>
      </c>
      <c r="C837" s="3" t="s">
        <v>3</v>
      </c>
      <c r="D837" s="7">
        <v>0.86</v>
      </c>
      <c r="E837" s="5">
        <v>99</v>
      </c>
      <c r="F837" s="5">
        <v>100</v>
      </c>
      <c r="G837" s="5">
        <v>86</v>
      </c>
      <c r="H837" s="5">
        <v>58</v>
      </c>
      <c r="I837" s="6" t="str">
        <f t="shared" si="39"/>
        <v/>
      </c>
      <c r="J837">
        <f t="shared" si="40"/>
        <v>77.55</v>
      </c>
      <c r="K837" s="4" t="str">
        <f t="shared" si="41"/>
        <v>C</v>
      </c>
      <c r="L837">
        <f>IF(Helper!$E$3="All",1,IF(C837=Helper!$E$3,1,0))</f>
        <v>1</v>
      </c>
    </row>
    <row r="838" spans="1:12" x14ac:dyDescent="0.3">
      <c r="A838" s="3" t="s">
        <v>330</v>
      </c>
      <c r="B838" s="3" t="s">
        <v>329</v>
      </c>
      <c r="C838" s="3" t="s">
        <v>0</v>
      </c>
      <c r="D838" s="7">
        <v>0.97</v>
      </c>
      <c r="E838" s="5">
        <v>45</v>
      </c>
      <c r="F838" s="5">
        <v>85</v>
      </c>
      <c r="G838" s="5">
        <v>70</v>
      </c>
      <c r="H838" s="5">
        <v>58</v>
      </c>
      <c r="I838" s="6" t="str">
        <f t="shared" si="39"/>
        <v/>
      </c>
      <c r="J838">
        <f t="shared" si="40"/>
        <v>67.7</v>
      </c>
      <c r="K838" s="4" t="str">
        <f t="shared" si="41"/>
        <v>D</v>
      </c>
      <c r="L838">
        <f>IF(Helper!$E$3="All",1,IF(C838=Helper!$E$3,1,0))</f>
        <v>1</v>
      </c>
    </row>
    <row r="839" spans="1:12" x14ac:dyDescent="0.3">
      <c r="A839" s="3" t="s">
        <v>328</v>
      </c>
      <c r="B839" s="3" t="s">
        <v>327</v>
      </c>
      <c r="C839" s="3" t="s">
        <v>8</v>
      </c>
      <c r="D839" s="7">
        <v>0.66</v>
      </c>
      <c r="E839" s="5">
        <v>71</v>
      </c>
      <c r="F839" s="5">
        <v>61</v>
      </c>
      <c r="G839" s="5">
        <v>80</v>
      </c>
      <c r="H839" s="5">
        <v>41</v>
      </c>
      <c r="I839" s="6">
        <f t="shared" si="39"/>
        <v>-39</v>
      </c>
      <c r="J839">
        <f t="shared" si="40"/>
        <v>55</v>
      </c>
      <c r="K839" s="4" t="str">
        <f t="shared" si="41"/>
        <v>F</v>
      </c>
      <c r="L839">
        <f>IF(Helper!$E$3="All",1,IF(C839=Helper!$E$3,1,0))</f>
        <v>1</v>
      </c>
    </row>
    <row r="840" spans="1:12" x14ac:dyDescent="0.3">
      <c r="A840" s="3" t="s">
        <v>326</v>
      </c>
      <c r="B840" s="3" t="s">
        <v>325</v>
      </c>
      <c r="C840" s="3" t="s">
        <v>3</v>
      </c>
      <c r="D840" s="7">
        <v>0.64</v>
      </c>
      <c r="E840" s="5">
        <v>68</v>
      </c>
      <c r="F840" s="5">
        <v>80</v>
      </c>
      <c r="G840" s="5">
        <v>85</v>
      </c>
      <c r="H840" s="5">
        <v>80</v>
      </c>
      <c r="I840" s="6" t="str">
        <f t="shared" si="39"/>
        <v/>
      </c>
      <c r="J840">
        <f t="shared" si="40"/>
        <v>73.400000000000006</v>
      </c>
      <c r="K840" s="4" t="str">
        <f t="shared" si="41"/>
        <v>C</v>
      </c>
      <c r="L840">
        <f>IF(Helper!$E$3="All",1,IF(C840=Helper!$E$3,1,0))</f>
        <v>1</v>
      </c>
    </row>
    <row r="841" spans="1:12" x14ac:dyDescent="0.3">
      <c r="A841" s="3" t="s">
        <v>324</v>
      </c>
      <c r="B841" s="3" t="s">
        <v>323</v>
      </c>
      <c r="C841" s="3" t="s">
        <v>8</v>
      </c>
      <c r="D841" s="7">
        <v>0.9</v>
      </c>
      <c r="E841" s="5">
        <v>82</v>
      </c>
      <c r="F841" s="5">
        <v>95</v>
      </c>
      <c r="G841" s="5">
        <v>89</v>
      </c>
      <c r="H841" s="5">
        <v>84</v>
      </c>
      <c r="I841" s="6" t="str">
        <f t="shared" si="39"/>
        <v/>
      </c>
      <c r="J841">
        <f t="shared" si="40"/>
        <v>88.050000000000011</v>
      </c>
      <c r="K841" s="4" t="str">
        <f t="shared" si="41"/>
        <v>B</v>
      </c>
      <c r="L841">
        <f>IF(Helper!$E$3="All",1,IF(C841=Helper!$E$3,1,0))</f>
        <v>1</v>
      </c>
    </row>
    <row r="842" spans="1:12" x14ac:dyDescent="0.3">
      <c r="A842" s="3" t="s">
        <v>322</v>
      </c>
      <c r="B842" s="3" t="s">
        <v>321</v>
      </c>
      <c r="C842" s="3" t="s">
        <v>0</v>
      </c>
      <c r="D842" s="7">
        <v>0.82000000000000006</v>
      </c>
      <c r="E842" s="5">
        <v>41</v>
      </c>
      <c r="F842" s="5">
        <v>94</v>
      </c>
      <c r="G842" s="5">
        <v>65</v>
      </c>
      <c r="H842" s="5">
        <v>54</v>
      </c>
      <c r="I842" s="6" t="str">
        <f t="shared" si="39"/>
        <v/>
      </c>
      <c r="J842">
        <f t="shared" si="40"/>
        <v>64.349999999999994</v>
      </c>
      <c r="K842" s="4" t="str">
        <f t="shared" si="41"/>
        <v>D</v>
      </c>
      <c r="L842">
        <f>IF(Helper!$E$3="All",1,IF(C842=Helper!$E$3,1,0))</f>
        <v>1</v>
      </c>
    </row>
    <row r="843" spans="1:12" x14ac:dyDescent="0.3">
      <c r="A843" s="3" t="s">
        <v>320</v>
      </c>
      <c r="B843" s="3" t="s">
        <v>319</v>
      </c>
      <c r="C843" s="3" t="s">
        <v>3</v>
      </c>
      <c r="D843" s="7">
        <v>0.69000000000000006</v>
      </c>
      <c r="E843" s="5">
        <v>99</v>
      </c>
      <c r="F843" s="5">
        <v>55</v>
      </c>
      <c r="G843" s="5">
        <v>88</v>
      </c>
      <c r="H843" s="5">
        <v>42</v>
      </c>
      <c r="I843" s="6">
        <f t="shared" si="39"/>
        <v>-46</v>
      </c>
      <c r="J843">
        <f t="shared" si="40"/>
        <v>59.7</v>
      </c>
      <c r="K843" s="4" t="str">
        <f t="shared" si="41"/>
        <v>F</v>
      </c>
      <c r="L843">
        <f>IF(Helper!$E$3="All",1,IF(C843=Helper!$E$3,1,0))</f>
        <v>1</v>
      </c>
    </row>
    <row r="844" spans="1:12" x14ac:dyDescent="0.3">
      <c r="A844" s="3" t="s">
        <v>318</v>
      </c>
      <c r="B844" s="3" t="s">
        <v>317</v>
      </c>
      <c r="C844" s="3" t="s">
        <v>8</v>
      </c>
      <c r="D844" s="7">
        <v>0.91</v>
      </c>
      <c r="E844" s="5">
        <v>62</v>
      </c>
      <c r="F844" s="5">
        <v>68</v>
      </c>
      <c r="G844" s="5">
        <v>89</v>
      </c>
      <c r="H844" s="5">
        <v>50</v>
      </c>
      <c r="I844" s="6">
        <f t="shared" si="39"/>
        <v>-39</v>
      </c>
      <c r="J844">
        <f t="shared" si="40"/>
        <v>72.099999999999994</v>
      </c>
      <c r="K844" s="4" t="str">
        <f t="shared" si="41"/>
        <v>C</v>
      </c>
      <c r="L844">
        <f>IF(Helper!$E$3="All",1,IF(C844=Helper!$E$3,1,0))</f>
        <v>1</v>
      </c>
    </row>
    <row r="845" spans="1:12" x14ac:dyDescent="0.3">
      <c r="A845" s="3" t="s">
        <v>316</v>
      </c>
      <c r="B845" s="3" t="s">
        <v>315</v>
      </c>
      <c r="C845" s="3" t="s">
        <v>0</v>
      </c>
      <c r="D845" s="7">
        <v>0.89</v>
      </c>
      <c r="E845" s="5">
        <v>58</v>
      </c>
      <c r="F845" s="5">
        <v>88</v>
      </c>
      <c r="G845" s="5">
        <v>44</v>
      </c>
      <c r="H845" s="5">
        <v>92</v>
      </c>
      <c r="I845" s="6">
        <f t="shared" si="39"/>
        <v>48</v>
      </c>
      <c r="J845">
        <f t="shared" si="40"/>
        <v>71.700000000000017</v>
      </c>
      <c r="K845" s="4" t="str">
        <f t="shared" si="41"/>
        <v>C</v>
      </c>
      <c r="L845">
        <f>IF(Helper!$E$3="All",1,IF(C845=Helper!$E$3,1,0))</f>
        <v>1</v>
      </c>
    </row>
    <row r="846" spans="1:12" x14ac:dyDescent="0.3">
      <c r="A846" s="3" t="s">
        <v>314</v>
      </c>
      <c r="B846" s="3" t="s">
        <v>313</v>
      </c>
      <c r="C846" s="3" t="s">
        <v>8</v>
      </c>
      <c r="D846" s="7">
        <v>0.98</v>
      </c>
      <c r="E846" s="5">
        <v>70</v>
      </c>
      <c r="F846" s="5">
        <v>87</v>
      </c>
      <c r="G846" s="5">
        <v>59</v>
      </c>
      <c r="H846" s="5">
        <v>85</v>
      </c>
      <c r="I846" s="6">
        <f t="shared" si="39"/>
        <v>26</v>
      </c>
      <c r="J846">
        <f t="shared" si="40"/>
        <v>75.45</v>
      </c>
      <c r="K846" s="4" t="str">
        <f t="shared" si="41"/>
        <v>C</v>
      </c>
      <c r="L846">
        <f>IF(Helper!$E$3="All",1,IF(C846=Helper!$E$3,1,0))</f>
        <v>1</v>
      </c>
    </row>
    <row r="847" spans="1:12" x14ac:dyDescent="0.3">
      <c r="A847" s="3" t="s">
        <v>312</v>
      </c>
      <c r="B847" s="3" t="s">
        <v>311</v>
      </c>
      <c r="C847" s="3" t="s">
        <v>8</v>
      </c>
      <c r="D847" s="7">
        <v>0.9</v>
      </c>
      <c r="E847" s="5">
        <v>90</v>
      </c>
      <c r="F847" s="5">
        <v>69</v>
      </c>
      <c r="G847" s="5">
        <v>91</v>
      </c>
      <c r="H847" s="5">
        <v>69</v>
      </c>
      <c r="I847" s="6" t="str">
        <f t="shared" si="39"/>
        <v/>
      </c>
      <c r="J847">
        <f t="shared" si="40"/>
        <v>81.949999999999989</v>
      </c>
      <c r="K847" s="4" t="str">
        <f t="shared" si="41"/>
        <v>B</v>
      </c>
      <c r="L847">
        <f>IF(Helper!$E$3="All",1,IF(C847=Helper!$E$3,1,0))</f>
        <v>1</v>
      </c>
    </row>
    <row r="848" spans="1:12" x14ac:dyDescent="0.3">
      <c r="A848" s="3" t="s">
        <v>310</v>
      </c>
      <c r="B848" s="3" t="s">
        <v>309</v>
      </c>
      <c r="C848" s="3" t="s">
        <v>17</v>
      </c>
      <c r="D848" s="7">
        <v>0.77</v>
      </c>
      <c r="E848" s="5">
        <v>44</v>
      </c>
      <c r="F848" s="5">
        <v>51</v>
      </c>
      <c r="G848" s="5">
        <v>80</v>
      </c>
      <c r="H848" s="5">
        <v>96</v>
      </c>
      <c r="I848" s="6">
        <f t="shared" si="39"/>
        <v>16</v>
      </c>
      <c r="J848">
        <f t="shared" si="40"/>
        <v>85.15</v>
      </c>
      <c r="K848" s="4" t="str">
        <f t="shared" si="41"/>
        <v>B</v>
      </c>
      <c r="L848">
        <f>IF(Helper!$E$3="All",1,IF(C848=Helper!$E$3,1,0))</f>
        <v>1</v>
      </c>
    </row>
    <row r="849" spans="1:12" x14ac:dyDescent="0.3">
      <c r="A849" s="3" t="s">
        <v>308</v>
      </c>
      <c r="B849" s="3" t="s">
        <v>307</v>
      </c>
      <c r="C849" s="3" t="s">
        <v>17</v>
      </c>
      <c r="D849" s="7">
        <v>0.95000000000000007</v>
      </c>
      <c r="E849" s="5">
        <v>58</v>
      </c>
      <c r="F849" s="5">
        <v>74</v>
      </c>
      <c r="G849" s="5">
        <v>50</v>
      </c>
      <c r="H849" s="5">
        <v>79</v>
      </c>
      <c r="I849" s="6">
        <f t="shared" si="39"/>
        <v>29</v>
      </c>
      <c r="J849">
        <f t="shared" si="40"/>
        <v>68.2</v>
      </c>
      <c r="K849" s="4" t="str">
        <f t="shared" si="41"/>
        <v>D</v>
      </c>
      <c r="L849">
        <f>IF(Helper!$E$3="All",1,IF(C849=Helper!$E$3,1,0))</f>
        <v>1</v>
      </c>
    </row>
    <row r="850" spans="1:12" x14ac:dyDescent="0.3">
      <c r="A850" s="3" t="s">
        <v>306</v>
      </c>
      <c r="B850" s="3" t="s">
        <v>305</v>
      </c>
      <c r="C850" s="3" t="s">
        <v>0</v>
      </c>
      <c r="D850" s="7">
        <v>0.61</v>
      </c>
      <c r="E850" s="5">
        <v>73</v>
      </c>
      <c r="F850" s="5">
        <v>50</v>
      </c>
      <c r="G850" s="5">
        <v>95</v>
      </c>
      <c r="H850" s="5">
        <v>57</v>
      </c>
      <c r="I850" s="6">
        <f t="shared" si="39"/>
        <v>-38</v>
      </c>
      <c r="J850">
        <f t="shared" si="40"/>
        <v>66.949999999999989</v>
      </c>
      <c r="K850" s="4" t="str">
        <f t="shared" si="41"/>
        <v>D</v>
      </c>
      <c r="L850">
        <f>IF(Helper!$E$3="All",1,IF(C850=Helper!$E$3,1,0))</f>
        <v>1</v>
      </c>
    </row>
    <row r="851" spans="1:12" x14ac:dyDescent="0.3">
      <c r="A851" s="3" t="s">
        <v>304</v>
      </c>
      <c r="B851" s="3" t="s">
        <v>303</v>
      </c>
      <c r="C851" s="3" t="s">
        <v>17</v>
      </c>
      <c r="D851" s="7">
        <v>0.73</v>
      </c>
      <c r="E851" s="5">
        <v>49</v>
      </c>
      <c r="F851" s="5">
        <v>85</v>
      </c>
      <c r="G851" s="5">
        <v>93</v>
      </c>
      <c r="H851" s="5">
        <v>90</v>
      </c>
      <c r="I851" s="6" t="str">
        <f t="shared" si="39"/>
        <v/>
      </c>
      <c r="J851">
        <f t="shared" si="40"/>
        <v>89.9</v>
      </c>
      <c r="K851" s="4" t="str">
        <f t="shared" si="41"/>
        <v>B</v>
      </c>
      <c r="L851">
        <f>IF(Helper!$E$3="All",1,IF(C851=Helper!$E$3,1,0))</f>
        <v>1</v>
      </c>
    </row>
    <row r="852" spans="1:12" x14ac:dyDescent="0.3">
      <c r="A852" s="3" t="s">
        <v>302</v>
      </c>
      <c r="B852" s="3" t="s">
        <v>301</v>
      </c>
      <c r="C852" s="3" t="s">
        <v>0</v>
      </c>
      <c r="D852" s="7">
        <v>0.72</v>
      </c>
      <c r="E852" s="5">
        <v>64</v>
      </c>
      <c r="F852" s="5">
        <v>89</v>
      </c>
      <c r="G852" s="5">
        <v>72</v>
      </c>
      <c r="H852" s="5">
        <v>87</v>
      </c>
      <c r="I852" s="6">
        <f t="shared" si="39"/>
        <v>15</v>
      </c>
      <c r="J852">
        <f t="shared" si="40"/>
        <v>81.25</v>
      </c>
      <c r="K852" s="4" t="str">
        <f t="shared" si="41"/>
        <v>B</v>
      </c>
      <c r="L852">
        <f>IF(Helper!$E$3="All",1,IF(C852=Helper!$E$3,1,0))</f>
        <v>1</v>
      </c>
    </row>
    <row r="853" spans="1:12" x14ac:dyDescent="0.3">
      <c r="A853" s="3" t="s">
        <v>300</v>
      </c>
      <c r="B853" s="3" t="s">
        <v>299</v>
      </c>
      <c r="C853" s="3" t="s">
        <v>17</v>
      </c>
      <c r="D853" s="7">
        <v>0.88</v>
      </c>
      <c r="E853" s="5">
        <v>41</v>
      </c>
      <c r="F853" s="5">
        <v>60</v>
      </c>
      <c r="G853" s="5">
        <v>89</v>
      </c>
      <c r="H853" s="5">
        <v>41</v>
      </c>
      <c r="I853" s="6">
        <f t="shared" si="39"/>
        <v>-48</v>
      </c>
      <c r="J853">
        <f t="shared" si="40"/>
        <v>67.050000000000011</v>
      </c>
      <c r="K853" s="4" t="str">
        <f t="shared" si="41"/>
        <v>D</v>
      </c>
      <c r="L853">
        <f>IF(Helper!$E$3="All",1,IF(C853=Helper!$E$3,1,0))</f>
        <v>1</v>
      </c>
    </row>
    <row r="854" spans="1:12" x14ac:dyDescent="0.3">
      <c r="A854" s="3" t="s">
        <v>298</v>
      </c>
      <c r="B854" s="3" t="s">
        <v>297</v>
      </c>
      <c r="C854" s="3" t="s">
        <v>8</v>
      </c>
      <c r="D854" s="7">
        <v>0.71</v>
      </c>
      <c r="E854" s="5">
        <v>50</v>
      </c>
      <c r="F854" s="5">
        <v>60</v>
      </c>
      <c r="G854" s="5">
        <v>77</v>
      </c>
      <c r="H854" s="5">
        <v>71</v>
      </c>
      <c r="I854" s="6" t="str">
        <f t="shared" si="39"/>
        <v/>
      </c>
      <c r="J854">
        <f t="shared" si="40"/>
        <v>74.699999999999989</v>
      </c>
      <c r="K854" s="4" t="str">
        <f t="shared" si="41"/>
        <v>C</v>
      </c>
      <c r="L854">
        <f>IF(Helper!$E$3="All",1,IF(C854=Helper!$E$3,1,0))</f>
        <v>1</v>
      </c>
    </row>
    <row r="855" spans="1:12" x14ac:dyDescent="0.3">
      <c r="A855" s="3" t="s">
        <v>296</v>
      </c>
      <c r="B855" s="3" t="s">
        <v>295</v>
      </c>
      <c r="C855" s="3" t="s">
        <v>0</v>
      </c>
      <c r="D855" s="7">
        <v>0.98</v>
      </c>
      <c r="E855" s="5">
        <v>89</v>
      </c>
      <c r="F855" s="5">
        <v>44</v>
      </c>
      <c r="G855" s="5">
        <v>66</v>
      </c>
      <c r="H855" s="5">
        <v>47</v>
      </c>
      <c r="I855" s="6" t="str">
        <f t="shared" si="39"/>
        <v/>
      </c>
      <c r="J855">
        <f t="shared" si="40"/>
        <v>61.849999999999994</v>
      </c>
      <c r="K855" s="4" t="str">
        <f t="shared" si="41"/>
        <v>D</v>
      </c>
      <c r="L855">
        <f>IF(Helper!$E$3="All",1,IF(C855=Helper!$E$3,1,0))</f>
        <v>1</v>
      </c>
    </row>
    <row r="856" spans="1:12" x14ac:dyDescent="0.3">
      <c r="A856" s="3" t="s">
        <v>294</v>
      </c>
      <c r="B856" s="3" t="s">
        <v>293</v>
      </c>
      <c r="C856" s="3" t="s">
        <v>0</v>
      </c>
      <c r="D856" s="7">
        <v>0.61</v>
      </c>
      <c r="E856" s="5">
        <v>100</v>
      </c>
      <c r="F856" s="5">
        <v>87</v>
      </c>
      <c r="G856" s="5">
        <v>73</v>
      </c>
      <c r="H856" s="5">
        <v>61</v>
      </c>
      <c r="I856" s="6" t="str">
        <f t="shared" si="39"/>
        <v/>
      </c>
      <c r="J856">
        <f t="shared" si="40"/>
        <v>62.949999999999996</v>
      </c>
      <c r="K856" s="4" t="str">
        <f t="shared" si="41"/>
        <v>D</v>
      </c>
      <c r="L856">
        <f>IF(Helper!$E$3="All",1,IF(C856=Helper!$E$3,1,0))</f>
        <v>1</v>
      </c>
    </row>
    <row r="857" spans="1:12" x14ac:dyDescent="0.3">
      <c r="A857" s="3" t="s">
        <v>292</v>
      </c>
      <c r="B857" s="3" t="s">
        <v>291</v>
      </c>
      <c r="C857" s="3" t="s">
        <v>8</v>
      </c>
      <c r="D857" s="7">
        <v>0.91</v>
      </c>
      <c r="E857" s="5">
        <v>70</v>
      </c>
      <c r="F857" s="5">
        <v>59</v>
      </c>
      <c r="G857" s="5">
        <v>54</v>
      </c>
      <c r="H857" s="5">
        <v>45</v>
      </c>
      <c r="I857" s="6" t="str">
        <f t="shared" si="39"/>
        <v/>
      </c>
      <c r="J857">
        <f t="shared" si="40"/>
        <v>56.05</v>
      </c>
      <c r="K857" s="4" t="str">
        <f t="shared" si="41"/>
        <v>F</v>
      </c>
      <c r="L857">
        <f>IF(Helper!$E$3="All",1,IF(C857=Helper!$E$3,1,0))</f>
        <v>1</v>
      </c>
    </row>
    <row r="858" spans="1:12" x14ac:dyDescent="0.3">
      <c r="A858" s="3" t="s">
        <v>290</v>
      </c>
      <c r="B858" s="3" t="s">
        <v>289</v>
      </c>
      <c r="C858" s="3" t="s">
        <v>0</v>
      </c>
      <c r="D858" s="7">
        <v>0.72</v>
      </c>
      <c r="E858" s="5">
        <v>95</v>
      </c>
      <c r="F858" s="5">
        <v>76</v>
      </c>
      <c r="G858" s="5">
        <v>71</v>
      </c>
      <c r="H858" s="5">
        <v>51</v>
      </c>
      <c r="I858" s="6" t="str">
        <f t="shared" si="39"/>
        <v/>
      </c>
      <c r="J858">
        <f t="shared" si="40"/>
        <v>67.349999999999994</v>
      </c>
      <c r="K858" s="4" t="str">
        <f t="shared" si="41"/>
        <v>D</v>
      </c>
      <c r="L858">
        <f>IF(Helper!$E$3="All",1,IF(C858=Helper!$E$3,1,0))</f>
        <v>1</v>
      </c>
    </row>
    <row r="859" spans="1:12" x14ac:dyDescent="0.3">
      <c r="A859" s="3" t="s">
        <v>288</v>
      </c>
      <c r="B859" s="3" t="s">
        <v>287</v>
      </c>
      <c r="C859" s="3" t="s">
        <v>0</v>
      </c>
      <c r="D859" s="7">
        <v>0.86</v>
      </c>
      <c r="E859" s="5">
        <v>54</v>
      </c>
      <c r="F859" s="5">
        <v>42</v>
      </c>
      <c r="G859" s="5">
        <v>100</v>
      </c>
      <c r="H859" s="5">
        <v>86</v>
      </c>
      <c r="I859" s="6" t="str">
        <f t="shared" si="39"/>
        <v/>
      </c>
      <c r="J859">
        <f t="shared" si="40"/>
        <v>89.199999999999989</v>
      </c>
      <c r="K859" s="4" t="str">
        <f t="shared" si="41"/>
        <v>B</v>
      </c>
      <c r="L859">
        <f>IF(Helper!$E$3="All",1,IF(C859=Helper!$E$3,1,0))</f>
        <v>1</v>
      </c>
    </row>
    <row r="860" spans="1:12" x14ac:dyDescent="0.3">
      <c r="A860" s="3" t="s">
        <v>286</v>
      </c>
      <c r="B860" s="3" t="s">
        <v>285</v>
      </c>
      <c r="C860" s="3" t="s">
        <v>17</v>
      </c>
      <c r="D860" s="7">
        <v>1</v>
      </c>
      <c r="E860" s="5">
        <v>48</v>
      </c>
      <c r="F860" s="5">
        <v>83</v>
      </c>
      <c r="G860" s="5">
        <v>97</v>
      </c>
      <c r="H860" s="5">
        <v>96</v>
      </c>
      <c r="I860" s="6" t="str">
        <f t="shared" si="39"/>
        <v/>
      </c>
      <c r="J860">
        <f t="shared" si="40"/>
        <v>93.75</v>
      </c>
      <c r="K860" s="4" t="str">
        <f t="shared" si="41"/>
        <v>A</v>
      </c>
      <c r="L860">
        <f>IF(Helper!$E$3="All",1,IF(C860=Helper!$E$3,1,0))</f>
        <v>1</v>
      </c>
    </row>
    <row r="861" spans="1:12" x14ac:dyDescent="0.3">
      <c r="A861" s="3" t="s">
        <v>284</v>
      </c>
      <c r="B861" s="3" t="s">
        <v>283</v>
      </c>
      <c r="C861" s="3" t="s">
        <v>0</v>
      </c>
      <c r="D861" s="7">
        <v>0.76</v>
      </c>
      <c r="E861" s="5">
        <v>62</v>
      </c>
      <c r="F861" s="5">
        <v>72</v>
      </c>
      <c r="G861" s="5">
        <v>60</v>
      </c>
      <c r="H861" s="5">
        <v>79</v>
      </c>
      <c r="I861" s="6">
        <f t="shared" si="39"/>
        <v>19</v>
      </c>
      <c r="J861">
        <f t="shared" si="40"/>
        <v>72.300000000000011</v>
      </c>
      <c r="K861" s="4" t="str">
        <f t="shared" si="41"/>
        <v>C</v>
      </c>
      <c r="L861">
        <f>IF(Helper!$E$3="All",1,IF(C861=Helper!$E$3,1,0))</f>
        <v>1</v>
      </c>
    </row>
    <row r="862" spans="1:12" x14ac:dyDescent="0.3">
      <c r="A862" s="3" t="s">
        <v>282</v>
      </c>
      <c r="B862" s="3" t="s">
        <v>281</v>
      </c>
      <c r="C862" s="3" t="s">
        <v>3</v>
      </c>
      <c r="D862" s="7">
        <v>0.99</v>
      </c>
      <c r="E862" s="5">
        <v>58</v>
      </c>
      <c r="F862" s="5">
        <v>92</v>
      </c>
      <c r="G862" s="5">
        <v>85</v>
      </c>
      <c r="H862" s="5">
        <v>75</v>
      </c>
      <c r="I862" s="6" t="str">
        <f t="shared" si="39"/>
        <v/>
      </c>
      <c r="J862">
        <f t="shared" si="40"/>
        <v>81.5</v>
      </c>
      <c r="K862" s="4" t="str">
        <f t="shared" si="41"/>
        <v>B</v>
      </c>
      <c r="L862">
        <f>IF(Helper!$E$3="All",1,IF(C862=Helper!$E$3,1,0))</f>
        <v>1</v>
      </c>
    </row>
    <row r="863" spans="1:12" x14ac:dyDescent="0.3">
      <c r="A863" s="3" t="s">
        <v>280</v>
      </c>
      <c r="B863" s="3" t="s">
        <v>279</v>
      </c>
      <c r="C863" s="3" t="s">
        <v>8</v>
      </c>
      <c r="D863" s="7">
        <v>0.9</v>
      </c>
      <c r="E863" s="5">
        <v>48</v>
      </c>
      <c r="F863" s="5">
        <v>100</v>
      </c>
      <c r="G863" s="5">
        <v>44</v>
      </c>
      <c r="H863" s="5">
        <v>54</v>
      </c>
      <c r="I863" s="6">
        <f t="shared" si="39"/>
        <v>10</v>
      </c>
      <c r="J863">
        <f t="shared" si="40"/>
        <v>56.6</v>
      </c>
      <c r="K863" s="4" t="str">
        <f t="shared" si="41"/>
        <v>F</v>
      </c>
      <c r="L863">
        <f>IF(Helper!$E$3="All",1,IF(C863=Helper!$E$3,1,0))</f>
        <v>1</v>
      </c>
    </row>
    <row r="864" spans="1:12" x14ac:dyDescent="0.3">
      <c r="A864" s="3" t="s">
        <v>278</v>
      </c>
      <c r="B864" s="3" t="s">
        <v>277</v>
      </c>
      <c r="C864" s="3" t="s">
        <v>17</v>
      </c>
      <c r="D864" s="7">
        <v>0.93</v>
      </c>
      <c r="E864" s="5">
        <v>74</v>
      </c>
      <c r="F864" s="5">
        <v>48</v>
      </c>
      <c r="G864" s="5">
        <v>45</v>
      </c>
      <c r="H864" s="5">
        <v>67</v>
      </c>
      <c r="I864" s="6">
        <f t="shared" si="39"/>
        <v>22</v>
      </c>
      <c r="J864">
        <f t="shared" si="40"/>
        <v>60.899999999999991</v>
      </c>
      <c r="K864" s="4" t="str">
        <f t="shared" si="41"/>
        <v>D</v>
      </c>
      <c r="L864">
        <f>IF(Helper!$E$3="All",1,IF(C864=Helper!$E$3,1,0))</f>
        <v>1</v>
      </c>
    </row>
    <row r="865" spans="1:12" x14ac:dyDescent="0.3">
      <c r="A865" s="3" t="s">
        <v>276</v>
      </c>
      <c r="B865" s="3" t="s">
        <v>275</v>
      </c>
      <c r="C865" s="3" t="s">
        <v>17</v>
      </c>
      <c r="D865" s="7">
        <v>0.83000000000000007</v>
      </c>
      <c r="E865" s="5">
        <v>60</v>
      </c>
      <c r="F865" s="5">
        <v>100</v>
      </c>
      <c r="G865" s="5">
        <v>77</v>
      </c>
      <c r="H865" s="5">
        <v>91</v>
      </c>
      <c r="I865" s="6">
        <f t="shared" si="39"/>
        <v>14</v>
      </c>
      <c r="J865">
        <f t="shared" si="40"/>
        <v>85.199999999999989</v>
      </c>
      <c r="K865" s="4" t="str">
        <f t="shared" si="41"/>
        <v>B</v>
      </c>
      <c r="L865">
        <f>IF(Helper!$E$3="All",1,IF(C865=Helper!$E$3,1,0))</f>
        <v>1</v>
      </c>
    </row>
    <row r="866" spans="1:12" x14ac:dyDescent="0.3">
      <c r="A866" s="3" t="s">
        <v>274</v>
      </c>
      <c r="B866" s="3" t="s">
        <v>273</v>
      </c>
      <c r="C866" s="3" t="s">
        <v>3</v>
      </c>
      <c r="D866" s="7">
        <v>0.94000000000000006</v>
      </c>
      <c r="E866" s="5">
        <v>48</v>
      </c>
      <c r="F866" s="5">
        <v>48</v>
      </c>
      <c r="G866" s="5">
        <v>61</v>
      </c>
      <c r="H866" s="5">
        <v>96</v>
      </c>
      <c r="I866" s="6">
        <f t="shared" si="39"/>
        <v>35</v>
      </c>
      <c r="J866">
        <f t="shared" si="40"/>
        <v>77.599999999999994</v>
      </c>
      <c r="K866" s="4" t="str">
        <f t="shared" si="41"/>
        <v>C</v>
      </c>
      <c r="L866">
        <f>IF(Helper!$E$3="All",1,IF(C866=Helper!$E$3,1,0))</f>
        <v>1</v>
      </c>
    </row>
    <row r="867" spans="1:12" x14ac:dyDescent="0.3">
      <c r="A867" s="3" t="s">
        <v>272</v>
      </c>
      <c r="B867" s="3" t="s">
        <v>271</v>
      </c>
      <c r="C867" s="3" t="s">
        <v>8</v>
      </c>
      <c r="D867" s="7">
        <v>0.65</v>
      </c>
      <c r="E867" s="5">
        <v>67</v>
      </c>
      <c r="F867" s="5">
        <v>43</v>
      </c>
      <c r="G867" s="5">
        <v>57</v>
      </c>
      <c r="H867" s="5">
        <v>88</v>
      </c>
      <c r="I867" s="6">
        <f t="shared" si="39"/>
        <v>31</v>
      </c>
      <c r="J867">
        <f t="shared" si="40"/>
        <v>63.5</v>
      </c>
      <c r="K867" s="4" t="str">
        <f t="shared" si="41"/>
        <v>D</v>
      </c>
      <c r="L867">
        <f>IF(Helper!$E$3="All",1,IF(C867=Helper!$E$3,1,0))</f>
        <v>1</v>
      </c>
    </row>
    <row r="868" spans="1:12" x14ac:dyDescent="0.3">
      <c r="A868" s="3" t="s">
        <v>270</v>
      </c>
      <c r="B868" s="3" t="s">
        <v>269</v>
      </c>
      <c r="C868" s="3" t="s">
        <v>8</v>
      </c>
      <c r="D868" s="7">
        <v>0.78</v>
      </c>
      <c r="E868" s="5">
        <v>85</v>
      </c>
      <c r="F868" s="5">
        <v>74</v>
      </c>
      <c r="G868" s="5">
        <v>53</v>
      </c>
      <c r="H868" s="5">
        <v>84</v>
      </c>
      <c r="I868" s="6">
        <f t="shared" si="39"/>
        <v>31</v>
      </c>
      <c r="J868">
        <f t="shared" si="40"/>
        <v>72.75</v>
      </c>
      <c r="K868" s="4" t="str">
        <f t="shared" si="41"/>
        <v>C</v>
      </c>
      <c r="L868">
        <f>IF(Helper!$E$3="All",1,IF(C868=Helper!$E$3,1,0))</f>
        <v>1</v>
      </c>
    </row>
    <row r="869" spans="1:12" x14ac:dyDescent="0.3">
      <c r="A869" s="3" t="s">
        <v>268</v>
      </c>
      <c r="B869" s="3" t="s">
        <v>267</v>
      </c>
      <c r="C869" s="3" t="s">
        <v>17</v>
      </c>
      <c r="D869" s="7">
        <v>0.89</v>
      </c>
      <c r="E869" s="5">
        <v>90</v>
      </c>
      <c r="F869" s="5">
        <v>56</v>
      </c>
      <c r="G869" s="5">
        <v>49</v>
      </c>
      <c r="H869" s="5">
        <v>57</v>
      </c>
      <c r="I869" s="6">
        <f t="shared" si="39"/>
        <v>8</v>
      </c>
      <c r="J869">
        <f t="shared" si="40"/>
        <v>59.7</v>
      </c>
      <c r="K869" s="4" t="str">
        <f t="shared" si="41"/>
        <v>F</v>
      </c>
      <c r="L869">
        <f>IF(Helper!$E$3="All",1,IF(C869=Helper!$E$3,1,0))</f>
        <v>1</v>
      </c>
    </row>
    <row r="870" spans="1:12" x14ac:dyDescent="0.3">
      <c r="A870" s="3" t="s">
        <v>266</v>
      </c>
      <c r="B870" s="3" t="s">
        <v>265</v>
      </c>
      <c r="C870" s="3" t="s">
        <v>0</v>
      </c>
      <c r="D870" s="7">
        <v>0.66</v>
      </c>
      <c r="E870" s="5">
        <v>46</v>
      </c>
      <c r="F870" s="5">
        <v>73</v>
      </c>
      <c r="G870" s="5">
        <v>85</v>
      </c>
      <c r="H870" s="5">
        <v>41</v>
      </c>
      <c r="I870" s="6">
        <f t="shared" si="39"/>
        <v>-44</v>
      </c>
      <c r="J870">
        <f t="shared" si="40"/>
        <v>56.35</v>
      </c>
      <c r="K870" s="4" t="str">
        <f t="shared" si="41"/>
        <v>F</v>
      </c>
      <c r="L870">
        <f>IF(Helper!$E$3="All",1,IF(C870=Helper!$E$3,1,0))</f>
        <v>1</v>
      </c>
    </row>
    <row r="871" spans="1:12" x14ac:dyDescent="0.3">
      <c r="A871" s="3" t="s">
        <v>264</v>
      </c>
      <c r="B871" s="3" t="s">
        <v>263</v>
      </c>
      <c r="C871" s="3" t="s">
        <v>17</v>
      </c>
      <c r="D871" s="7">
        <v>0.69000000000000006</v>
      </c>
      <c r="E871" s="5">
        <v>55</v>
      </c>
      <c r="F871" s="5">
        <v>63</v>
      </c>
      <c r="G871" s="5">
        <v>52</v>
      </c>
      <c r="H871" s="5">
        <v>52</v>
      </c>
      <c r="I871" s="6" t="str">
        <f t="shared" si="39"/>
        <v/>
      </c>
      <c r="J871">
        <f t="shared" si="40"/>
        <v>47.5</v>
      </c>
      <c r="K871" s="4" t="str">
        <f t="shared" si="41"/>
        <v>F</v>
      </c>
      <c r="L871">
        <f>IF(Helper!$E$3="All",1,IF(C871=Helper!$E$3,1,0))</f>
        <v>1</v>
      </c>
    </row>
    <row r="872" spans="1:12" x14ac:dyDescent="0.3">
      <c r="A872" s="3" t="s">
        <v>262</v>
      </c>
      <c r="B872" s="3" t="s">
        <v>261</v>
      </c>
      <c r="C872" s="3" t="s">
        <v>8</v>
      </c>
      <c r="D872" s="7">
        <v>1</v>
      </c>
      <c r="E872" s="5">
        <v>55</v>
      </c>
      <c r="F872" s="5">
        <v>71</v>
      </c>
      <c r="G872" s="5">
        <v>70</v>
      </c>
      <c r="H872" s="5">
        <v>84</v>
      </c>
      <c r="I872" s="6">
        <f t="shared" si="39"/>
        <v>14</v>
      </c>
      <c r="J872">
        <f t="shared" si="40"/>
        <v>77.900000000000006</v>
      </c>
      <c r="K872" s="4" t="str">
        <f t="shared" si="41"/>
        <v>C</v>
      </c>
      <c r="L872">
        <f>IF(Helper!$E$3="All",1,IF(C872=Helper!$E$3,1,0))</f>
        <v>1</v>
      </c>
    </row>
    <row r="873" spans="1:12" x14ac:dyDescent="0.3">
      <c r="A873" s="3" t="s">
        <v>260</v>
      </c>
      <c r="B873" s="3" t="s">
        <v>259</v>
      </c>
      <c r="C873" s="3" t="s">
        <v>3</v>
      </c>
      <c r="D873" s="7">
        <v>0.91</v>
      </c>
      <c r="E873" s="5">
        <v>99</v>
      </c>
      <c r="F873" s="5">
        <v>40</v>
      </c>
      <c r="G873" s="5">
        <v>69</v>
      </c>
      <c r="H873" s="5">
        <v>93</v>
      </c>
      <c r="I873" s="6">
        <f t="shared" si="39"/>
        <v>24</v>
      </c>
      <c r="J873">
        <f t="shared" si="40"/>
        <v>81.75</v>
      </c>
      <c r="K873" s="4" t="str">
        <f t="shared" si="41"/>
        <v>B</v>
      </c>
      <c r="L873">
        <f>IF(Helper!$E$3="All",1,IF(C873=Helper!$E$3,1,0))</f>
        <v>1</v>
      </c>
    </row>
    <row r="874" spans="1:12" x14ac:dyDescent="0.3">
      <c r="A874" s="3" t="s">
        <v>258</v>
      </c>
      <c r="B874" s="3" t="s">
        <v>257</v>
      </c>
      <c r="C874" s="3" t="s">
        <v>17</v>
      </c>
      <c r="D874" s="7">
        <v>0.93</v>
      </c>
      <c r="E874" s="5">
        <v>72</v>
      </c>
      <c r="F874" s="5">
        <v>47</v>
      </c>
      <c r="G874" s="5">
        <v>42</v>
      </c>
      <c r="H874" s="5">
        <v>54</v>
      </c>
      <c r="I874" s="6">
        <f t="shared" si="39"/>
        <v>12</v>
      </c>
      <c r="J874">
        <f t="shared" si="40"/>
        <v>54.35</v>
      </c>
      <c r="K874" s="4" t="str">
        <f t="shared" si="41"/>
        <v>F</v>
      </c>
      <c r="L874">
        <f>IF(Helper!$E$3="All",1,IF(C874=Helper!$E$3,1,0))</f>
        <v>1</v>
      </c>
    </row>
    <row r="875" spans="1:12" x14ac:dyDescent="0.3">
      <c r="A875" s="3" t="s">
        <v>256</v>
      </c>
      <c r="B875" s="3" t="s">
        <v>255</v>
      </c>
      <c r="C875" s="3" t="s">
        <v>8</v>
      </c>
      <c r="D875" s="7">
        <v>0.87</v>
      </c>
      <c r="E875" s="5">
        <v>43</v>
      </c>
      <c r="F875" s="5">
        <v>84</v>
      </c>
      <c r="G875" s="5">
        <v>69</v>
      </c>
      <c r="H875" s="5">
        <v>59</v>
      </c>
      <c r="I875" s="6" t="str">
        <f t="shared" si="39"/>
        <v/>
      </c>
      <c r="J875">
        <f t="shared" si="40"/>
        <v>67.55</v>
      </c>
      <c r="K875" s="4" t="str">
        <f t="shared" si="41"/>
        <v>D</v>
      </c>
      <c r="L875">
        <f>IF(Helper!$E$3="All",1,IF(C875=Helper!$E$3,1,0))</f>
        <v>1</v>
      </c>
    </row>
    <row r="876" spans="1:12" x14ac:dyDescent="0.3">
      <c r="A876" s="3" t="s">
        <v>254</v>
      </c>
      <c r="B876" s="3" t="s">
        <v>253</v>
      </c>
      <c r="C876" s="3" t="s">
        <v>17</v>
      </c>
      <c r="D876" s="7">
        <v>0.74</v>
      </c>
      <c r="E876" s="5">
        <v>43</v>
      </c>
      <c r="F876" s="5">
        <v>62</v>
      </c>
      <c r="G876" s="5">
        <v>45</v>
      </c>
      <c r="H876" s="5">
        <v>68</v>
      </c>
      <c r="I876" s="6">
        <f t="shared" si="39"/>
        <v>23</v>
      </c>
      <c r="J876">
        <f t="shared" si="40"/>
        <v>60.45</v>
      </c>
      <c r="K876" s="4" t="str">
        <f t="shared" si="41"/>
        <v>D</v>
      </c>
      <c r="L876">
        <f>IF(Helper!$E$3="All",1,IF(C876=Helper!$E$3,1,0))</f>
        <v>1</v>
      </c>
    </row>
    <row r="877" spans="1:12" x14ac:dyDescent="0.3">
      <c r="A877" s="3" t="s">
        <v>252</v>
      </c>
      <c r="B877" s="3" t="s">
        <v>251</v>
      </c>
      <c r="C877" s="3" t="s">
        <v>0</v>
      </c>
      <c r="D877" s="7">
        <v>0.89</v>
      </c>
      <c r="E877" s="5">
        <v>78</v>
      </c>
      <c r="F877" s="5">
        <v>86</v>
      </c>
      <c r="G877" s="5">
        <v>68</v>
      </c>
      <c r="H877" s="5">
        <v>98</v>
      </c>
      <c r="I877" s="6">
        <f t="shared" si="39"/>
        <v>30</v>
      </c>
      <c r="J877">
        <f t="shared" si="40"/>
        <v>84.600000000000009</v>
      </c>
      <c r="K877" s="4" t="str">
        <f t="shared" si="41"/>
        <v>B</v>
      </c>
      <c r="L877">
        <f>IF(Helper!$E$3="All",1,IF(C877=Helper!$E$3,1,0))</f>
        <v>1</v>
      </c>
    </row>
    <row r="878" spans="1:12" x14ac:dyDescent="0.3">
      <c r="A878" s="3" t="s">
        <v>250</v>
      </c>
      <c r="B878" s="3" t="s">
        <v>249</v>
      </c>
      <c r="C878" s="3" t="s">
        <v>17</v>
      </c>
      <c r="D878" s="7">
        <v>0.96</v>
      </c>
      <c r="E878" s="5">
        <v>79</v>
      </c>
      <c r="F878" s="5">
        <v>79</v>
      </c>
      <c r="G878" s="5">
        <v>47</v>
      </c>
      <c r="H878" s="5">
        <v>81</v>
      </c>
      <c r="I878" s="6">
        <f t="shared" si="39"/>
        <v>34</v>
      </c>
      <c r="J878">
        <f t="shared" si="40"/>
        <v>69.099999999999994</v>
      </c>
      <c r="K878" s="4" t="str">
        <f t="shared" si="41"/>
        <v>D</v>
      </c>
      <c r="L878">
        <f>IF(Helper!$E$3="All",1,IF(C878=Helper!$E$3,1,0))</f>
        <v>1</v>
      </c>
    </row>
    <row r="879" spans="1:12" x14ac:dyDescent="0.3">
      <c r="A879" s="3" t="s">
        <v>248</v>
      </c>
      <c r="B879" s="3" t="s">
        <v>247</v>
      </c>
      <c r="C879" s="3" t="s">
        <v>17</v>
      </c>
      <c r="D879" s="7">
        <v>0.88</v>
      </c>
      <c r="E879" s="5">
        <v>56</v>
      </c>
      <c r="F879" s="5">
        <v>51</v>
      </c>
      <c r="G879" s="5">
        <v>83</v>
      </c>
      <c r="H879" s="5">
        <v>68</v>
      </c>
      <c r="I879" s="6" t="str">
        <f t="shared" si="39"/>
        <v/>
      </c>
      <c r="J879">
        <f t="shared" si="40"/>
        <v>75.75</v>
      </c>
      <c r="K879" s="4" t="str">
        <f t="shared" si="41"/>
        <v>C</v>
      </c>
      <c r="L879">
        <f>IF(Helper!$E$3="All",1,IF(C879=Helper!$E$3,1,0))</f>
        <v>1</v>
      </c>
    </row>
    <row r="880" spans="1:12" x14ac:dyDescent="0.3">
      <c r="A880" s="3" t="s">
        <v>246</v>
      </c>
      <c r="B880" s="3" t="s">
        <v>245</v>
      </c>
      <c r="C880" s="3" t="s">
        <v>8</v>
      </c>
      <c r="D880" s="7">
        <v>0.81</v>
      </c>
      <c r="E880" s="5">
        <v>76</v>
      </c>
      <c r="F880" s="5">
        <v>93</v>
      </c>
      <c r="G880" s="5">
        <v>84</v>
      </c>
      <c r="H880" s="5">
        <v>42</v>
      </c>
      <c r="I880" s="6">
        <f t="shared" si="39"/>
        <v>-42</v>
      </c>
      <c r="J880">
        <f t="shared" si="40"/>
        <v>68.850000000000009</v>
      </c>
      <c r="K880" s="4" t="str">
        <f t="shared" si="41"/>
        <v>D</v>
      </c>
      <c r="L880">
        <f>IF(Helper!$E$3="All",1,IF(C880=Helper!$E$3,1,0))</f>
        <v>1</v>
      </c>
    </row>
    <row r="881" spans="1:12" x14ac:dyDescent="0.3">
      <c r="A881" s="3" t="s">
        <v>244</v>
      </c>
      <c r="B881" s="3" t="s">
        <v>243</v>
      </c>
      <c r="C881" s="3" t="s">
        <v>8</v>
      </c>
      <c r="D881" s="7">
        <v>0.63</v>
      </c>
      <c r="E881" s="5">
        <v>78</v>
      </c>
      <c r="F881" s="5">
        <v>51</v>
      </c>
      <c r="G881" s="5">
        <v>82</v>
      </c>
      <c r="H881" s="5">
        <v>58</v>
      </c>
      <c r="I881" s="6" t="str">
        <f t="shared" si="39"/>
        <v/>
      </c>
      <c r="J881">
        <f t="shared" si="40"/>
        <v>62.45</v>
      </c>
      <c r="K881" s="4" t="str">
        <f t="shared" si="41"/>
        <v>D</v>
      </c>
      <c r="L881">
        <f>IF(Helper!$E$3="All",1,IF(C881=Helper!$E$3,1,0))</f>
        <v>1</v>
      </c>
    </row>
    <row r="882" spans="1:12" x14ac:dyDescent="0.3">
      <c r="A882" s="3" t="s">
        <v>242</v>
      </c>
      <c r="B882" s="3" t="s">
        <v>241</v>
      </c>
      <c r="C882" s="3" t="s">
        <v>8</v>
      </c>
      <c r="D882" s="7">
        <v>0.79</v>
      </c>
      <c r="E882" s="5">
        <v>99</v>
      </c>
      <c r="F882" s="5">
        <v>85</v>
      </c>
      <c r="G882" s="5">
        <v>83</v>
      </c>
      <c r="H882" s="5">
        <v>42</v>
      </c>
      <c r="I882" s="6">
        <f t="shared" si="39"/>
        <v>-41</v>
      </c>
      <c r="J882">
        <f t="shared" si="40"/>
        <v>69.199999999999989</v>
      </c>
      <c r="K882" s="4" t="str">
        <f t="shared" si="41"/>
        <v>D</v>
      </c>
      <c r="L882">
        <f>IF(Helper!$E$3="All",1,IF(C882=Helper!$E$3,1,0))</f>
        <v>1</v>
      </c>
    </row>
    <row r="883" spans="1:12" x14ac:dyDescent="0.3">
      <c r="A883" s="3" t="s">
        <v>240</v>
      </c>
      <c r="B883" s="3" t="s">
        <v>239</v>
      </c>
      <c r="C883" s="3" t="s">
        <v>17</v>
      </c>
      <c r="D883" s="7">
        <v>0.91</v>
      </c>
      <c r="E883" s="5">
        <v>91</v>
      </c>
      <c r="F883" s="5">
        <v>86</v>
      </c>
      <c r="G883" s="5">
        <v>72</v>
      </c>
      <c r="H883" s="5">
        <v>93</v>
      </c>
      <c r="I883" s="6">
        <f t="shared" si="39"/>
        <v>21</v>
      </c>
      <c r="J883">
        <f t="shared" si="40"/>
        <v>84.85</v>
      </c>
      <c r="K883" s="4" t="str">
        <f t="shared" si="41"/>
        <v>B</v>
      </c>
      <c r="L883">
        <f>IF(Helper!$E$3="All",1,IF(C883=Helper!$E$3,1,0))</f>
        <v>1</v>
      </c>
    </row>
    <row r="884" spans="1:12" x14ac:dyDescent="0.3">
      <c r="A884" s="3" t="s">
        <v>238</v>
      </c>
      <c r="B884" s="3" t="s">
        <v>237</v>
      </c>
      <c r="C884" s="3" t="s">
        <v>0</v>
      </c>
      <c r="D884" s="7">
        <v>0.95000000000000007</v>
      </c>
      <c r="E884" s="5">
        <v>68</v>
      </c>
      <c r="F884" s="5">
        <v>54</v>
      </c>
      <c r="G884" s="5">
        <v>56</v>
      </c>
      <c r="H884" s="5">
        <v>53</v>
      </c>
      <c r="I884" s="6" t="str">
        <f t="shared" si="39"/>
        <v/>
      </c>
      <c r="J884">
        <f t="shared" si="40"/>
        <v>59.7</v>
      </c>
      <c r="K884" s="4" t="str">
        <f t="shared" si="41"/>
        <v>F</v>
      </c>
      <c r="L884">
        <f>IF(Helper!$E$3="All",1,IF(C884=Helper!$E$3,1,0))</f>
        <v>1</v>
      </c>
    </row>
    <row r="885" spans="1:12" x14ac:dyDescent="0.3">
      <c r="A885" s="3" t="s">
        <v>236</v>
      </c>
      <c r="B885" s="3" t="s">
        <v>235</v>
      </c>
      <c r="C885" s="3" t="s">
        <v>3</v>
      </c>
      <c r="D885" s="7">
        <v>0.63</v>
      </c>
      <c r="E885" s="5">
        <v>91</v>
      </c>
      <c r="F885" s="5">
        <v>80</v>
      </c>
      <c r="G885" s="5">
        <v>87</v>
      </c>
      <c r="H885" s="5">
        <v>79</v>
      </c>
      <c r="I885" s="6" t="str">
        <f t="shared" si="39"/>
        <v/>
      </c>
      <c r="J885">
        <f t="shared" si="40"/>
        <v>74.949999999999989</v>
      </c>
      <c r="K885" s="4" t="str">
        <f t="shared" si="41"/>
        <v>C</v>
      </c>
      <c r="L885">
        <f>IF(Helper!$E$3="All",1,IF(C885=Helper!$E$3,1,0))</f>
        <v>1</v>
      </c>
    </row>
    <row r="886" spans="1:12" x14ac:dyDescent="0.3">
      <c r="A886" s="3" t="s">
        <v>234</v>
      </c>
      <c r="B886" s="3" t="s">
        <v>233</v>
      </c>
      <c r="C886" s="3" t="s">
        <v>3</v>
      </c>
      <c r="D886" s="7">
        <v>0.86</v>
      </c>
      <c r="E886" s="5">
        <v>75</v>
      </c>
      <c r="F886" s="5">
        <v>58</v>
      </c>
      <c r="G886" s="5">
        <v>50</v>
      </c>
      <c r="H886" s="5">
        <v>98</v>
      </c>
      <c r="I886" s="6">
        <f t="shared" si="39"/>
        <v>48</v>
      </c>
      <c r="J886">
        <f t="shared" si="40"/>
        <v>75.849999999999994</v>
      </c>
      <c r="K886" s="4" t="str">
        <f t="shared" si="41"/>
        <v>C</v>
      </c>
      <c r="L886">
        <f>IF(Helper!$E$3="All",1,IF(C886=Helper!$E$3,1,0))</f>
        <v>1</v>
      </c>
    </row>
    <row r="887" spans="1:12" x14ac:dyDescent="0.3">
      <c r="A887" s="3" t="s">
        <v>232</v>
      </c>
      <c r="B887" s="3" t="s">
        <v>231</v>
      </c>
      <c r="C887" s="3" t="s">
        <v>8</v>
      </c>
      <c r="D887" s="7">
        <v>0.76</v>
      </c>
      <c r="E887" s="5">
        <v>99</v>
      </c>
      <c r="F887" s="5">
        <v>65</v>
      </c>
      <c r="G887" s="5">
        <v>52</v>
      </c>
      <c r="H887" s="5">
        <v>94</v>
      </c>
      <c r="I887" s="6">
        <f t="shared" si="39"/>
        <v>42</v>
      </c>
      <c r="J887">
        <f t="shared" si="40"/>
        <v>76.599999999999994</v>
      </c>
      <c r="K887" s="4" t="str">
        <f t="shared" si="41"/>
        <v>C</v>
      </c>
      <c r="L887">
        <f>IF(Helper!$E$3="All",1,IF(C887=Helper!$E$3,1,0))</f>
        <v>1</v>
      </c>
    </row>
    <row r="888" spans="1:12" x14ac:dyDescent="0.3">
      <c r="A888" s="3" t="s">
        <v>230</v>
      </c>
      <c r="B888" s="3" t="s">
        <v>229</v>
      </c>
      <c r="C888" s="3" t="s">
        <v>8</v>
      </c>
      <c r="D888" s="7">
        <v>0.71</v>
      </c>
      <c r="E888" s="5">
        <v>77</v>
      </c>
      <c r="F888" s="5">
        <v>91</v>
      </c>
      <c r="G888" s="5">
        <v>89</v>
      </c>
      <c r="H888" s="5">
        <v>43</v>
      </c>
      <c r="I888" s="6">
        <f t="shared" si="39"/>
        <v>-46</v>
      </c>
      <c r="J888">
        <f t="shared" si="40"/>
        <v>71.2</v>
      </c>
      <c r="K888" s="4" t="str">
        <f t="shared" si="41"/>
        <v>C</v>
      </c>
      <c r="L888">
        <f>IF(Helper!$E$3="All",1,IF(C888=Helper!$E$3,1,0))</f>
        <v>1</v>
      </c>
    </row>
    <row r="889" spans="1:12" x14ac:dyDescent="0.3">
      <c r="A889" s="3" t="s">
        <v>228</v>
      </c>
      <c r="B889" s="3" t="s">
        <v>227</v>
      </c>
      <c r="C889" s="3" t="s">
        <v>17</v>
      </c>
      <c r="D889" s="7">
        <v>0.81</v>
      </c>
      <c r="E889" s="5">
        <v>78</v>
      </c>
      <c r="F889" s="5">
        <v>68</v>
      </c>
      <c r="G889" s="5">
        <v>50</v>
      </c>
      <c r="H889" s="5">
        <v>98</v>
      </c>
      <c r="I889" s="6">
        <f t="shared" si="39"/>
        <v>48</v>
      </c>
      <c r="J889">
        <f t="shared" si="40"/>
        <v>76.5</v>
      </c>
      <c r="K889" s="4" t="str">
        <f t="shared" si="41"/>
        <v>C</v>
      </c>
      <c r="L889">
        <f>IF(Helper!$E$3="All",1,IF(C889=Helper!$E$3,1,0))</f>
        <v>1</v>
      </c>
    </row>
    <row r="890" spans="1:12" x14ac:dyDescent="0.3">
      <c r="A890" s="3" t="s">
        <v>226</v>
      </c>
      <c r="B890" s="3" t="s">
        <v>225</v>
      </c>
      <c r="C890" s="3" t="s">
        <v>3</v>
      </c>
      <c r="D890" s="7">
        <v>0.76</v>
      </c>
      <c r="E890" s="5">
        <v>89</v>
      </c>
      <c r="F890" s="5">
        <v>61</v>
      </c>
      <c r="G890" s="5">
        <v>70</v>
      </c>
      <c r="H890" s="5">
        <v>99</v>
      </c>
      <c r="I890" s="6">
        <f t="shared" si="39"/>
        <v>29</v>
      </c>
      <c r="J890">
        <f t="shared" si="40"/>
        <v>85.1</v>
      </c>
      <c r="K890" s="4" t="str">
        <f t="shared" si="41"/>
        <v>B</v>
      </c>
      <c r="L890">
        <f>IF(Helper!$E$3="All",1,IF(C890=Helper!$E$3,1,0))</f>
        <v>1</v>
      </c>
    </row>
    <row r="891" spans="1:12" x14ac:dyDescent="0.3">
      <c r="A891" s="3" t="s">
        <v>224</v>
      </c>
      <c r="B891" s="3" t="s">
        <v>223</v>
      </c>
      <c r="C891" s="3" t="s">
        <v>8</v>
      </c>
      <c r="D891" s="7">
        <v>0.69000000000000006</v>
      </c>
      <c r="E891" s="5">
        <v>76</v>
      </c>
      <c r="F891" s="5">
        <v>79</v>
      </c>
      <c r="G891" s="5">
        <v>67</v>
      </c>
      <c r="H891" s="5">
        <v>91</v>
      </c>
      <c r="I891" s="6">
        <f t="shared" si="39"/>
        <v>24</v>
      </c>
      <c r="J891">
        <f t="shared" si="40"/>
        <v>70.949999999999989</v>
      </c>
      <c r="K891" s="4" t="str">
        <f t="shared" si="41"/>
        <v>C</v>
      </c>
      <c r="L891">
        <f>IF(Helper!$E$3="All",1,IF(C891=Helper!$E$3,1,0))</f>
        <v>1</v>
      </c>
    </row>
    <row r="892" spans="1:12" x14ac:dyDescent="0.3">
      <c r="A892" s="3" t="s">
        <v>222</v>
      </c>
      <c r="B892" s="3" t="s">
        <v>221</v>
      </c>
      <c r="C892" s="3" t="s">
        <v>0</v>
      </c>
      <c r="D892" s="7">
        <v>0.6</v>
      </c>
      <c r="E892" s="5">
        <v>91</v>
      </c>
      <c r="F892" s="5">
        <v>60</v>
      </c>
      <c r="G892" s="5">
        <v>83</v>
      </c>
      <c r="H892" s="5">
        <v>50</v>
      </c>
      <c r="I892" s="6">
        <f t="shared" si="39"/>
        <v>-33</v>
      </c>
      <c r="J892">
        <f t="shared" si="40"/>
        <v>60.749999999999993</v>
      </c>
      <c r="K892" s="4" t="str">
        <f t="shared" si="41"/>
        <v>D</v>
      </c>
      <c r="L892">
        <f>IF(Helper!$E$3="All",1,IF(C892=Helper!$E$3,1,0))</f>
        <v>1</v>
      </c>
    </row>
    <row r="893" spans="1:12" x14ac:dyDescent="0.3">
      <c r="A893" s="3" t="s">
        <v>220</v>
      </c>
      <c r="B893" s="3" t="s">
        <v>219</v>
      </c>
      <c r="C893" s="3" t="s">
        <v>0</v>
      </c>
      <c r="D893" s="7">
        <v>0.81</v>
      </c>
      <c r="E893" s="5">
        <v>100</v>
      </c>
      <c r="F893" s="5">
        <v>90</v>
      </c>
      <c r="G893" s="5">
        <v>45</v>
      </c>
      <c r="H893" s="5">
        <v>97</v>
      </c>
      <c r="I893" s="6">
        <f t="shared" si="39"/>
        <v>52</v>
      </c>
      <c r="J893">
        <f t="shared" si="40"/>
        <v>76.3</v>
      </c>
      <c r="K893" s="4" t="str">
        <f t="shared" si="41"/>
        <v>C</v>
      </c>
      <c r="L893">
        <f>IF(Helper!$E$3="All",1,IF(C893=Helper!$E$3,1,0))</f>
        <v>1</v>
      </c>
    </row>
    <row r="894" spans="1:12" x14ac:dyDescent="0.3">
      <c r="A894" s="3" t="s">
        <v>218</v>
      </c>
      <c r="B894" s="3" t="s">
        <v>217</v>
      </c>
      <c r="C894" s="3" t="s">
        <v>8</v>
      </c>
      <c r="D894" s="7">
        <v>0.85</v>
      </c>
      <c r="E894" s="5">
        <v>74</v>
      </c>
      <c r="F894" s="5">
        <v>77</v>
      </c>
      <c r="G894" s="5">
        <v>80</v>
      </c>
      <c r="H894" s="5">
        <v>70</v>
      </c>
      <c r="I894" s="6" t="str">
        <f t="shared" si="39"/>
        <v/>
      </c>
      <c r="J894">
        <f t="shared" si="40"/>
        <v>77.55</v>
      </c>
      <c r="K894" s="4" t="str">
        <f t="shared" si="41"/>
        <v>C</v>
      </c>
      <c r="L894">
        <f>IF(Helper!$E$3="All",1,IF(C894=Helper!$E$3,1,0))</f>
        <v>1</v>
      </c>
    </row>
    <row r="895" spans="1:12" x14ac:dyDescent="0.3">
      <c r="A895" s="3" t="s">
        <v>216</v>
      </c>
      <c r="B895" s="3" t="s">
        <v>215</v>
      </c>
      <c r="C895" s="3" t="s">
        <v>8</v>
      </c>
      <c r="D895" s="7">
        <v>0.77</v>
      </c>
      <c r="E895" s="5">
        <v>46</v>
      </c>
      <c r="F895" s="5">
        <v>59</v>
      </c>
      <c r="G895" s="5">
        <v>55</v>
      </c>
      <c r="H895" s="5">
        <v>82</v>
      </c>
      <c r="I895" s="6">
        <f t="shared" si="39"/>
        <v>27</v>
      </c>
      <c r="J895">
        <f t="shared" si="40"/>
        <v>70.05</v>
      </c>
      <c r="K895" s="4" t="str">
        <f t="shared" si="41"/>
        <v>C</v>
      </c>
      <c r="L895">
        <f>IF(Helper!$E$3="All",1,IF(C895=Helper!$E$3,1,0))</f>
        <v>1</v>
      </c>
    </row>
    <row r="896" spans="1:12" x14ac:dyDescent="0.3">
      <c r="A896" s="3" t="s">
        <v>214</v>
      </c>
      <c r="B896" s="3" t="s">
        <v>213</v>
      </c>
      <c r="C896" s="3" t="s">
        <v>3</v>
      </c>
      <c r="D896" s="7">
        <v>0.73</v>
      </c>
      <c r="E896" s="5">
        <v>66</v>
      </c>
      <c r="F896" s="5">
        <v>96</v>
      </c>
      <c r="G896" s="5">
        <v>43</v>
      </c>
      <c r="H896" s="5">
        <v>71</v>
      </c>
      <c r="I896" s="6">
        <f t="shared" si="39"/>
        <v>28</v>
      </c>
      <c r="J896">
        <f t="shared" si="40"/>
        <v>63.699999999999996</v>
      </c>
      <c r="K896" s="4" t="str">
        <f t="shared" si="41"/>
        <v>D</v>
      </c>
      <c r="L896">
        <f>IF(Helper!$E$3="All",1,IF(C896=Helper!$E$3,1,0))</f>
        <v>1</v>
      </c>
    </row>
    <row r="897" spans="1:12" x14ac:dyDescent="0.3">
      <c r="A897" s="3" t="s">
        <v>212</v>
      </c>
      <c r="B897" s="3" t="s">
        <v>211</v>
      </c>
      <c r="C897" s="3" t="s">
        <v>3</v>
      </c>
      <c r="D897" s="7">
        <v>0.88</v>
      </c>
      <c r="E897" s="5">
        <v>67</v>
      </c>
      <c r="F897" s="5">
        <v>68</v>
      </c>
      <c r="G897" s="5">
        <v>74</v>
      </c>
      <c r="H897" s="5">
        <v>66</v>
      </c>
      <c r="I897" s="6" t="str">
        <f t="shared" si="39"/>
        <v/>
      </c>
      <c r="J897">
        <f t="shared" si="40"/>
        <v>72.75</v>
      </c>
      <c r="K897" s="4" t="str">
        <f t="shared" si="41"/>
        <v>C</v>
      </c>
      <c r="L897">
        <f>IF(Helper!$E$3="All",1,IF(C897=Helper!$E$3,1,0))</f>
        <v>1</v>
      </c>
    </row>
    <row r="898" spans="1:12" x14ac:dyDescent="0.3">
      <c r="A898" s="3" t="s">
        <v>210</v>
      </c>
      <c r="B898" s="3" t="s">
        <v>209</v>
      </c>
      <c r="C898" s="3" t="s">
        <v>17</v>
      </c>
      <c r="D898" s="7">
        <v>0.71</v>
      </c>
      <c r="E898" s="5">
        <v>61</v>
      </c>
      <c r="F898" s="5">
        <v>90</v>
      </c>
      <c r="G898" s="5">
        <v>99</v>
      </c>
      <c r="H898" s="5">
        <v>69</v>
      </c>
      <c r="I898" s="6" t="str">
        <f t="shared" ref="I898:I961" si="42">IF(H898&gt;G898*1.15,H898-G898,IF(H898&lt;G898*0.65,H898-G898,""))</f>
        <v/>
      </c>
      <c r="J898">
        <f t="shared" ref="J898:J961" si="43">IF(ISBLANK(D898),"",IF(D898&gt;0.7,10,0)+(E898/100*5)+(F898/100*5)+(G898/100*40)+(H898/100*40))</f>
        <v>84.75</v>
      </c>
      <c r="K898" s="4" t="str">
        <f t="shared" ref="K898:K961" si="44">IF(J898&gt;=90,"A",IF(J898&gt;=80,"B",IF(J898&gt;=70,"C",IF(J898&gt;=60,"D","F"))))</f>
        <v>B</v>
      </c>
      <c r="L898">
        <f>IF(Helper!$E$3="All",1,IF(C898=Helper!$E$3,1,0))</f>
        <v>1</v>
      </c>
    </row>
    <row r="899" spans="1:12" x14ac:dyDescent="0.3">
      <c r="A899" s="3" t="s">
        <v>208</v>
      </c>
      <c r="B899" s="3" t="s">
        <v>207</v>
      </c>
      <c r="C899" s="3" t="s">
        <v>3</v>
      </c>
      <c r="D899" s="7">
        <v>0.95000000000000007</v>
      </c>
      <c r="E899" s="5">
        <v>53</v>
      </c>
      <c r="F899" s="5">
        <v>43</v>
      </c>
      <c r="G899" s="5">
        <v>87</v>
      </c>
      <c r="H899" s="5">
        <v>82</v>
      </c>
      <c r="I899" s="6" t="str">
        <f t="shared" si="42"/>
        <v/>
      </c>
      <c r="J899">
        <f t="shared" si="43"/>
        <v>82.399999999999991</v>
      </c>
      <c r="K899" s="4" t="str">
        <f t="shared" si="44"/>
        <v>B</v>
      </c>
      <c r="L899">
        <f>IF(Helper!$E$3="All",1,IF(C899=Helper!$E$3,1,0))</f>
        <v>1</v>
      </c>
    </row>
    <row r="900" spans="1:12" x14ac:dyDescent="0.3">
      <c r="A900" s="3" t="s">
        <v>206</v>
      </c>
      <c r="B900" s="3" t="s">
        <v>205</v>
      </c>
      <c r="C900" s="3" t="s">
        <v>0</v>
      </c>
      <c r="D900" s="7">
        <v>0.94000000000000006</v>
      </c>
      <c r="E900" s="5">
        <v>46</v>
      </c>
      <c r="F900" s="5">
        <v>94</v>
      </c>
      <c r="G900" s="5">
        <v>95</v>
      </c>
      <c r="H900" s="5">
        <v>41</v>
      </c>
      <c r="I900" s="6">
        <f t="shared" si="42"/>
        <v>-54</v>
      </c>
      <c r="J900">
        <f t="shared" si="43"/>
        <v>71.400000000000006</v>
      </c>
      <c r="K900" s="4" t="str">
        <f t="shared" si="44"/>
        <v>C</v>
      </c>
      <c r="L900">
        <f>IF(Helper!$E$3="All",1,IF(C900=Helper!$E$3,1,0))</f>
        <v>1</v>
      </c>
    </row>
    <row r="901" spans="1:12" x14ac:dyDescent="0.3">
      <c r="A901" s="3" t="s">
        <v>204</v>
      </c>
      <c r="B901" s="3" t="s">
        <v>203</v>
      </c>
      <c r="C901" s="3" t="s">
        <v>0</v>
      </c>
      <c r="D901" s="7">
        <v>0.71</v>
      </c>
      <c r="E901" s="5">
        <v>76</v>
      </c>
      <c r="F901" s="5">
        <v>46</v>
      </c>
      <c r="G901" s="5">
        <v>98</v>
      </c>
      <c r="H901" s="5">
        <v>88</v>
      </c>
      <c r="I901" s="6" t="str">
        <f t="shared" si="42"/>
        <v/>
      </c>
      <c r="J901">
        <f t="shared" si="43"/>
        <v>90.5</v>
      </c>
      <c r="K901" s="4" t="str">
        <f t="shared" si="44"/>
        <v>A</v>
      </c>
      <c r="L901">
        <f>IF(Helper!$E$3="All",1,IF(C901=Helper!$E$3,1,0))</f>
        <v>1</v>
      </c>
    </row>
    <row r="902" spans="1:12" x14ac:dyDescent="0.3">
      <c r="A902" s="3" t="s">
        <v>202</v>
      </c>
      <c r="B902" s="3" t="s">
        <v>201</v>
      </c>
      <c r="C902" s="3" t="s">
        <v>8</v>
      </c>
      <c r="D902" s="7">
        <v>0.66</v>
      </c>
      <c r="E902" s="5">
        <v>100</v>
      </c>
      <c r="F902" s="5">
        <v>67</v>
      </c>
      <c r="G902" s="5">
        <v>65</v>
      </c>
      <c r="H902" s="5">
        <v>48</v>
      </c>
      <c r="I902" s="6" t="str">
        <f t="shared" si="42"/>
        <v/>
      </c>
      <c r="J902">
        <f t="shared" si="43"/>
        <v>53.55</v>
      </c>
      <c r="K902" s="4" t="str">
        <f t="shared" si="44"/>
        <v>F</v>
      </c>
      <c r="L902">
        <f>IF(Helper!$E$3="All",1,IF(C902=Helper!$E$3,1,0))</f>
        <v>1</v>
      </c>
    </row>
    <row r="903" spans="1:12" x14ac:dyDescent="0.3">
      <c r="A903" s="3" t="s">
        <v>200</v>
      </c>
      <c r="B903" s="3" t="s">
        <v>199</v>
      </c>
      <c r="C903" s="3" t="s">
        <v>3</v>
      </c>
      <c r="D903" s="7">
        <v>0.88</v>
      </c>
      <c r="E903" s="5">
        <v>61</v>
      </c>
      <c r="F903" s="5">
        <v>67</v>
      </c>
      <c r="G903" s="5">
        <v>96</v>
      </c>
      <c r="H903" s="5">
        <v>67</v>
      </c>
      <c r="I903" s="6" t="str">
        <f t="shared" si="42"/>
        <v/>
      </c>
      <c r="J903">
        <f t="shared" si="43"/>
        <v>81.599999999999994</v>
      </c>
      <c r="K903" s="4" t="str">
        <f t="shared" si="44"/>
        <v>B</v>
      </c>
      <c r="L903">
        <f>IF(Helper!$E$3="All",1,IF(C903=Helper!$E$3,1,0))</f>
        <v>1</v>
      </c>
    </row>
    <row r="904" spans="1:12" x14ac:dyDescent="0.3">
      <c r="A904" s="3" t="s">
        <v>198</v>
      </c>
      <c r="B904" s="3" t="s">
        <v>197</v>
      </c>
      <c r="C904" s="3" t="s">
        <v>17</v>
      </c>
      <c r="D904" s="7">
        <v>0.70000000000000007</v>
      </c>
      <c r="E904" s="5">
        <v>44</v>
      </c>
      <c r="F904" s="5">
        <v>43</v>
      </c>
      <c r="G904" s="5">
        <v>51</v>
      </c>
      <c r="H904" s="5">
        <v>70</v>
      </c>
      <c r="I904" s="6">
        <f t="shared" si="42"/>
        <v>19</v>
      </c>
      <c r="J904">
        <f t="shared" si="43"/>
        <v>52.75</v>
      </c>
      <c r="K904" s="4" t="str">
        <f t="shared" si="44"/>
        <v>F</v>
      </c>
      <c r="L904">
        <f>IF(Helper!$E$3="All",1,IF(C904=Helper!$E$3,1,0))</f>
        <v>1</v>
      </c>
    </row>
    <row r="905" spans="1:12" x14ac:dyDescent="0.3">
      <c r="A905" s="3" t="s">
        <v>196</v>
      </c>
      <c r="B905" s="3" t="s">
        <v>195</v>
      </c>
      <c r="C905" s="3" t="s">
        <v>0</v>
      </c>
      <c r="D905" s="7">
        <v>0.92</v>
      </c>
      <c r="E905" s="5">
        <v>94</v>
      </c>
      <c r="F905" s="5">
        <v>61</v>
      </c>
      <c r="G905" s="5">
        <v>50</v>
      </c>
      <c r="H905" s="5">
        <v>99</v>
      </c>
      <c r="I905" s="6">
        <f t="shared" si="42"/>
        <v>49</v>
      </c>
      <c r="J905">
        <f t="shared" si="43"/>
        <v>77.349999999999994</v>
      </c>
      <c r="K905" s="4" t="str">
        <f t="shared" si="44"/>
        <v>C</v>
      </c>
      <c r="L905">
        <f>IF(Helper!$E$3="All",1,IF(C905=Helper!$E$3,1,0))</f>
        <v>1</v>
      </c>
    </row>
    <row r="906" spans="1:12" x14ac:dyDescent="0.3">
      <c r="A906" s="3" t="s">
        <v>194</v>
      </c>
      <c r="B906" s="3" t="s">
        <v>193</v>
      </c>
      <c r="C906" s="3" t="s">
        <v>0</v>
      </c>
      <c r="D906" s="7">
        <v>0.65</v>
      </c>
      <c r="E906" s="5">
        <v>41</v>
      </c>
      <c r="F906" s="5">
        <v>51</v>
      </c>
      <c r="G906" s="5">
        <v>76</v>
      </c>
      <c r="H906" s="5">
        <v>73</v>
      </c>
      <c r="I906" s="6" t="str">
        <f t="shared" si="42"/>
        <v/>
      </c>
      <c r="J906">
        <f t="shared" si="43"/>
        <v>64.2</v>
      </c>
      <c r="K906" s="4" t="str">
        <f t="shared" si="44"/>
        <v>D</v>
      </c>
      <c r="L906">
        <f>IF(Helper!$E$3="All",1,IF(C906=Helper!$E$3,1,0))</f>
        <v>1</v>
      </c>
    </row>
    <row r="907" spans="1:12" x14ac:dyDescent="0.3">
      <c r="A907" s="3" t="s">
        <v>192</v>
      </c>
      <c r="B907" s="3" t="s">
        <v>191</v>
      </c>
      <c r="C907" s="3" t="s">
        <v>17</v>
      </c>
      <c r="D907" s="7">
        <v>0.74</v>
      </c>
      <c r="E907" s="5">
        <v>66</v>
      </c>
      <c r="F907" s="5">
        <v>84</v>
      </c>
      <c r="G907" s="5">
        <v>64</v>
      </c>
      <c r="H907" s="5">
        <v>100</v>
      </c>
      <c r="I907" s="6">
        <f t="shared" si="42"/>
        <v>36</v>
      </c>
      <c r="J907">
        <f t="shared" si="43"/>
        <v>83.1</v>
      </c>
      <c r="K907" s="4" t="str">
        <f t="shared" si="44"/>
        <v>B</v>
      </c>
      <c r="L907">
        <f>IF(Helper!$E$3="All",1,IF(C907=Helper!$E$3,1,0))</f>
        <v>1</v>
      </c>
    </row>
    <row r="908" spans="1:12" x14ac:dyDescent="0.3">
      <c r="A908" s="3" t="s">
        <v>190</v>
      </c>
      <c r="B908" s="3" t="s">
        <v>189</v>
      </c>
      <c r="C908" s="3" t="s">
        <v>17</v>
      </c>
      <c r="D908" s="7">
        <v>0.91</v>
      </c>
      <c r="E908" s="5">
        <v>60</v>
      </c>
      <c r="F908" s="5">
        <v>42</v>
      </c>
      <c r="G908" s="5">
        <v>57</v>
      </c>
      <c r="H908" s="5">
        <v>95</v>
      </c>
      <c r="I908" s="6">
        <f t="shared" si="42"/>
        <v>38</v>
      </c>
      <c r="J908">
        <f t="shared" si="43"/>
        <v>75.900000000000006</v>
      </c>
      <c r="K908" s="4" t="str">
        <f t="shared" si="44"/>
        <v>C</v>
      </c>
      <c r="L908">
        <f>IF(Helper!$E$3="All",1,IF(C908=Helper!$E$3,1,0))</f>
        <v>1</v>
      </c>
    </row>
    <row r="909" spans="1:12" x14ac:dyDescent="0.3">
      <c r="A909" s="3" t="s">
        <v>188</v>
      </c>
      <c r="B909" s="3" t="s">
        <v>187</v>
      </c>
      <c r="C909" s="3" t="s">
        <v>0</v>
      </c>
      <c r="D909" s="7">
        <v>0.70000000000000007</v>
      </c>
      <c r="E909" s="5">
        <v>93</v>
      </c>
      <c r="F909" s="5">
        <v>61</v>
      </c>
      <c r="G909" s="5">
        <v>58</v>
      </c>
      <c r="H909" s="5">
        <v>54</v>
      </c>
      <c r="I909" s="6" t="str">
        <f t="shared" si="42"/>
        <v/>
      </c>
      <c r="J909">
        <f t="shared" si="43"/>
        <v>52.5</v>
      </c>
      <c r="K909" s="4" t="str">
        <f t="shared" si="44"/>
        <v>F</v>
      </c>
      <c r="L909">
        <f>IF(Helper!$E$3="All",1,IF(C909=Helper!$E$3,1,0))</f>
        <v>1</v>
      </c>
    </row>
    <row r="910" spans="1:12" x14ac:dyDescent="0.3">
      <c r="A910" s="3" t="s">
        <v>186</v>
      </c>
      <c r="B910" s="3" t="s">
        <v>185</v>
      </c>
      <c r="C910" s="3" t="s">
        <v>0</v>
      </c>
      <c r="D910" s="7">
        <v>0.82000000000000006</v>
      </c>
      <c r="E910" s="5">
        <v>77</v>
      </c>
      <c r="F910" s="5">
        <v>83</v>
      </c>
      <c r="G910" s="5">
        <v>62</v>
      </c>
      <c r="H910" s="5">
        <v>87</v>
      </c>
      <c r="I910" s="6">
        <f t="shared" si="42"/>
        <v>25</v>
      </c>
      <c r="J910">
        <f t="shared" si="43"/>
        <v>77.599999999999994</v>
      </c>
      <c r="K910" s="4" t="str">
        <f t="shared" si="44"/>
        <v>C</v>
      </c>
      <c r="L910">
        <f>IF(Helper!$E$3="All",1,IF(C910=Helper!$E$3,1,0))</f>
        <v>1</v>
      </c>
    </row>
    <row r="911" spans="1:12" x14ac:dyDescent="0.3">
      <c r="A911" s="3" t="s">
        <v>184</v>
      </c>
      <c r="B911" s="3" t="s">
        <v>183</v>
      </c>
      <c r="C911" s="3" t="s">
        <v>17</v>
      </c>
      <c r="D911" s="7">
        <v>0.85</v>
      </c>
      <c r="E911" s="5">
        <v>54</v>
      </c>
      <c r="F911" s="5">
        <v>41</v>
      </c>
      <c r="G911" s="5">
        <v>94</v>
      </c>
      <c r="H911" s="5">
        <v>64</v>
      </c>
      <c r="I911" s="6" t="str">
        <f t="shared" si="42"/>
        <v/>
      </c>
      <c r="J911">
        <f t="shared" si="43"/>
        <v>77.949999999999989</v>
      </c>
      <c r="K911" s="4" t="str">
        <f t="shared" si="44"/>
        <v>C</v>
      </c>
      <c r="L911">
        <f>IF(Helper!$E$3="All",1,IF(C911=Helper!$E$3,1,0))</f>
        <v>1</v>
      </c>
    </row>
    <row r="912" spans="1:12" x14ac:dyDescent="0.3">
      <c r="A912" s="3" t="s">
        <v>182</v>
      </c>
      <c r="B912" s="3" t="s">
        <v>181</v>
      </c>
      <c r="C912" s="3" t="s">
        <v>0</v>
      </c>
      <c r="D912" s="7">
        <v>0.93</v>
      </c>
      <c r="E912" s="5">
        <v>60</v>
      </c>
      <c r="F912" s="5">
        <v>63</v>
      </c>
      <c r="G912" s="5">
        <v>77</v>
      </c>
      <c r="H912" s="5">
        <v>75</v>
      </c>
      <c r="I912" s="6" t="str">
        <f t="shared" si="42"/>
        <v/>
      </c>
      <c r="J912">
        <f t="shared" si="43"/>
        <v>76.95</v>
      </c>
      <c r="K912" s="4" t="str">
        <f t="shared" si="44"/>
        <v>C</v>
      </c>
      <c r="L912">
        <f>IF(Helper!$E$3="All",1,IF(C912=Helper!$E$3,1,0))</f>
        <v>1</v>
      </c>
    </row>
    <row r="913" spans="1:12" x14ac:dyDescent="0.3">
      <c r="A913" s="3" t="s">
        <v>180</v>
      </c>
      <c r="B913" s="3" t="s">
        <v>179</v>
      </c>
      <c r="C913" s="3" t="s">
        <v>8</v>
      </c>
      <c r="D913" s="7">
        <v>0.93</v>
      </c>
      <c r="E913" s="5">
        <v>49</v>
      </c>
      <c r="F913" s="5">
        <v>73</v>
      </c>
      <c r="G913" s="5">
        <v>93</v>
      </c>
      <c r="H913" s="5">
        <v>47</v>
      </c>
      <c r="I913" s="6">
        <f t="shared" si="42"/>
        <v>-46</v>
      </c>
      <c r="J913">
        <f t="shared" si="43"/>
        <v>72.099999999999994</v>
      </c>
      <c r="K913" s="4" t="str">
        <f t="shared" si="44"/>
        <v>C</v>
      </c>
      <c r="L913">
        <f>IF(Helper!$E$3="All",1,IF(C913=Helper!$E$3,1,0))</f>
        <v>1</v>
      </c>
    </row>
    <row r="914" spans="1:12" x14ac:dyDescent="0.3">
      <c r="A914" s="3" t="s">
        <v>178</v>
      </c>
      <c r="B914" s="3" t="s">
        <v>177</v>
      </c>
      <c r="C914" s="3" t="s">
        <v>8</v>
      </c>
      <c r="D914" s="7">
        <v>0.88</v>
      </c>
      <c r="E914" s="5">
        <v>62</v>
      </c>
      <c r="F914" s="5">
        <v>66</v>
      </c>
      <c r="G914" s="5">
        <v>57</v>
      </c>
      <c r="H914" s="5">
        <v>48</v>
      </c>
      <c r="I914" s="6" t="str">
        <f t="shared" si="42"/>
        <v/>
      </c>
      <c r="J914">
        <f t="shared" si="43"/>
        <v>58.399999999999991</v>
      </c>
      <c r="K914" s="4" t="str">
        <f t="shared" si="44"/>
        <v>F</v>
      </c>
      <c r="L914">
        <f>IF(Helper!$E$3="All",1,IF(C914=Helper!$E$3,1,0))</f>
        <v>1</v>
      </c>
    </row>
    <row r="915" spans="1:12" x14ac:dyDescent="0.3">
      <c r="A915" s="3" t="s">
        <v>176</v>
      </c>
      <c r="B915" s="3" t="s">
        <v>175</v>
      </c>
      <c r="C915" s="3" t="s">
        <v>17</v>
      </c>
      <c r="D915" s="7">
        <v>0.63</v>
      </c>
      <c r="E915" s="5">
        <v>97</v>
      </c>
      <c r="F915" s="5">
        <v>94</v>
      </c>
      <c r="G915" s="5">
        <v>65</v>
      </c>
      <c r="H915" s="5">
        <v>97</v>
      </c>
      <c r="I915" s="6">
        <f t="shared" si="42"/>
        <v>32</v>
      </c>
      <c r="J915">
        <f t="shared" si="43"/>
        <v>74.349999999999994</v>
      </c>
      <c r="K915" s="4" t="str">
        <f t="shared" si="44"/>
        <v>C</v>
      </c>
      <c r="L915">
        <f>IF(Helper!$E$3="All",1,IF(C915=Helper!$E$3,1,0))</f>
        <v>1</v>
      </c>
    </row>
    <row r="916" spans="1:12" x14ac:dyDescent="0.3">
      <c r="A916" s="3" t="s">
        <v>174</v>
      </c>
      <c r="B916" s="3" t="s">
        <v>173</v>
      </c>
      <c r="C916" s="3" t="s">
        <v>3</v>
      </c>
      <c r="D916" s="7">
        <v>0.76</v>
      </c>
      <c r="E916" s="5">
        <v>95</v>
      </c>
      <c r="F916" s="5">
        <v>80</v>
      </c>
      <c r="G916" s="5">
        <v>45</v>
      </c>
      <c r="H916" s="5">
        <v>97</v>
      </c>
      <c r="I916" s="6">
        <f t="shared" si="42"/>
        <v>52</v>
      </c>
      <c r="J916">
        <f t="shared" si="43"/>
        <v>75.55</v>
      </c>
      <c r="K916" s="4" t="str">
        <f t="shared" si="44"/>
        <v>C</v>
      </c>
      <c r="L916">
        <f>IF(Helper!$E$3="All",1,IF(C916=Helper!$E$3,1,0))</f>
        <v>1</v>
      </c>
    </row>
    <row r="917" spans="1:12" x14ac:dyDescent="0.3">
      <c r="A917" s="3" t="s">
        <v>172</v>
      </c>
      <c r="B917" s="3" t="s">
        <v>171</v>
      </c>
      <c r="C917" s="3" t="s">
        <v>17</v>
      </c>
      <c r="D917" s="7">
        <v>0.94000000000000006</v>
      </c>
      <c r="E917" s="5">
        <v>78</v>
      </c>
      <c r="F917" s="5">
        <v>40</v>
      </c>
      <c r="G917" s="5">
        <v>43</v>
      </c>
      <c r="H917" s="5">
        <v>76</v>
      </c>
      <c r="I917" s="6">
        <f t="shared" si="42"/>
        <v>33</v>
      </c>
      <c r="J917">
        <f t="shared" si="43"/>
        <v>63.5</v>
      </c>
      <c r="K917" s="4" t="str">
        <f t="shared" si="44"/>
        <v>D</v>
      </c>
      <c r="L917">
        <f>IF(Helper!$E$3="All",1,IF(C917=Helper!$E$3,1,0))</f>
        <v>1</v>
      </c>
    </row>
    <row r="918" spans="1:12" x14ac:dyDescent="0.3">
      <c r="A918" s="3" t="s">
        <v>170</v>
      </c>
      <c r="B918" s="3" t="s">
        <v>169</v>
      </c>
      <c r="C918" s="3" t="s">
        <v>17</v>
      </c>
      <c r="D918" s="7">
        <v>0.72</v>
      </c>
      <c r="E918" s="5">
        <v>44</v>
      </c>
      <c r="F918" s="5">
        <v>47</v>
      </c>
      <c r="G918" s="5">
        <v>83</v>
      </c>
      <c r="H918" s="5">
        <v>87</v>
      </c>
      <c r="I918" s="6" t="str">
        <f t="shared" si="42"/>
        <v/>
      </c>
      <c r="J918">
        <f t="shared" si="43"/>
        <v>82.549999999999983</v>
      </c>
      <c r="K918" s="4" t="str">
        <f t="shared" si="44"/>
        <v>B</v>
      </c>
      <c r="L918">
        <f>IF(Helper!$E$3="All",1,IF(C918=Helper!$E$3,1,0))</f>
        <v>1</v>
      </c>
    </row>
    <row r="919" spans="1:12" x14ac:dyDescent="0.3">
      <c r="A919" s="3" t="s">
        <v>168</v>
      </c>
      <c r="B919" s="3" t="s">
        <v>167</v>
      </c>
      <c r="C919" s="3" t="s">
        <v>3</v>
      </c>
      <c r="D919" s="7">
        <v>1</v>
      </c>
      <c r="E919" s="5">
        <v>40</v>
      </c>
      <c r="F919" s="5">
        <v>62</v>
      </c>
      <c r="G919" s="5">
        <v>90</v>
      </c>
      <c r="H919" s="5">
        <v>84</v>
      </c>
      <c r="I919" s="6" t="str">
        <f t="shared" si="42"/>
        <v/>
      </c>
      <c r="J919">
        <f t="shared" si="43"/>
        <v>84.7</v>
      </c>
      <c r="K919" s="4" t="str">
        <f t="shared" si="44"/>
        <v>B</v>
      </c>
      <c r="L919">
        <f>IF(Helper!$E$3="All",1,IF(C919=Helper!$E$3,1,0))</f>
        <v>1</v>
      </c>
    </row>
    <row r="920" spans="1:12" x14ac:dyDescent="0.3">
      <c r="A920" s="3" t="s">
        <v>166</v>
      </c>
      <c r="B920" s="3" t="s">
        <v>165</v>
      </c>
      <c r="C920" s="3" t="s">
        <v>3</v>
      </c>
      <c r="D920" s="7">
        <v>0.98</v>
      </c>
      <c r="E920" s="5">
        <v>52</v>
      </c>
      <c r="F920" s="5">
        <v>77</v>
      </c>
      <c r="G920" s="5">
        <v>68</v>
      </c>
      <c r="H920" s="5">
        <v>78</v>
      </c>
      <c r="I920" s="6" t="str">
        <f t="shared" si="42"/>
        <v/>
      </c>
      <c r="J920">
        <f t="shared" si="43"/>
        <v>74.850000000000009</v>
      </c>
      <c r="K920" s="4" t="str">
        <f t="shared" si="44"/>
        <v>C</v>
      </c>
      <c r="L920">
        <f>IF(Helper!$E$3="All",1,IF(C920=Helper!$E$3,1,0))</f>
        <v>1</v>
      </c>
    </row>
    <row r="921" spans="1:12" x14ac:dyDescent="0.3">
      <c r="A921" s="3" t="s">
        <v>164</v>
      </c>
      <c r="B921" s="3" t="s">
        <v>163</v>
      </c>
      <c r="C921" s="3" t="s">
        <v>3</v>
      </c>
      <c r="D921" s="7">
        <v>0.74</v>
      </c>
      <c r="E921" s="5">
        <v>60</v>
      </c>
      <c r="F921" s="5">
        <v>45</v>
      </c>
      <c r="G921" s="5">
        <v>98</v>
      </c>
      <c r="H921" s="5">
        <v>71</v>
      </c>
      <c r="I921" s="6" t="str">
        <f t="shared" si="42"/>
        <v/>
      </c>
      <c r="J921">
        <f t="shared" si="43"/>
        <v>82.85</v>
      </c>
      <c r="K921" s="4" t="str">
        <f t="shared" si="44"/>
        <v>B</v>
      </c>
      <c r="L921">
        <f>IF(Helper!$E$3="All",1,IF(C921=Helper!$E$3,1,0))</f>
        <v>1</v>
      </c>
    </row>
    <row r="922" spans="1:12" x14ac:dyDescent="0.3">
      <c r="A922" s="3" t="s">
        <v>162</v>
      </c>
      <c r="B922" s="3" t="s">
        <v>161</v>
      </c>
      <c r="C922" s="3" t="s">
        <v>8</v>
      </c>
      <c r="D922" s="7">
        <v>0.88</v>
      </c>
      <c r="E922" s="5">
        <v>65</v>
      </c>
      <c r="F922" s="5">
        <v>61</v>
      </c>
      <c r="G922" s="5">
        <v>100</v>
      </c>
      <c r="H922" s="5">
        <v>97</v>
      </c>
      <c r="I922" s="6" t="str">
        <f t="shared" si="42"/>
        <v/>
      </c>
      <c r="J922">
        <f t="shared" si="43"/>
        <v>95.1</v>
      </c>
      <c r="K922" s="4" t="str">
        <f t="shared" si="44"/>
        <v>A</v>
      </c>
      <c r="L922">
        <f>IF(Helper!$E$3="All",1,IF(C922=Helper!$E$3,1,0))</f>
        <v>1</v>
      </c>
    </row>
    <row r="923" spans="1:12" x14ac:dyDescent="0.3">
      <c r="A923" s="3" t="s">
        <v>160</v>
      </c>
      <c r="B923" s="3" t="s">
        <v>159</v>
      </c>
      <c r="C923" s="3" t="s">
        <v>0</v>
      </c>
      <c r="D923" s="7">
        <v>0.88</v>
      </c>
      <c r="E923" s="5">
        <v>89</v>
      </c>
      <c r="F923" s="5">
        <v>64</v>
      </c>
      <c r="G923" s="5">
        <v>73</v>
      </c>
      <c r="H923" s="5">
        <v>91</v>
      </c>
      <c r="I923" s="6">
        <f t="shared" si="42"/>
        <v>18</v>
      </c>
      <c r="J923">
        <f t="shared" si="43"/>
        <v>83.25</v>
      </c>
      <c r="K923" s="4" t="str">
        <f t="shared" si="44"/>
        <v>B</v>
      </c>
      <c r="L923">
        <f>IF(Helper!$E$3="All",1,IF(C923=Helper!$E$3,1,0))</f>
        <v>1</v>
      </c>
    </row>
    <row r="924" spans="1:12" x14ac:dyDescent="0.3">
      <c r="A924" s="3" t="s">
        <v>158</v>
      </c>
      <c r="B924" s="3" t="s">
        <v>157</v>
      </c>
      <c r="C924" s="3" t="s">
        <v>8</v>
      </c>
      <c r="D924" s="7">
        <v>0.70000000000000007</v>
      </c>
      <c r="E924" s="5">
        <v>84</v>
      </c>
      <c r="F924" s="5">
        <v>57</v>
      </c>
      <c r="G924" s="5">
        <v>56</v>
      </c>
      <c r="H924" s="5">
        <v>56</v>
      </c>
      <c r="I924" s="6" t="str">
        <f t="shared" si="42"/>
        <v/>
      </c>
      <c r="J924">
        <f t="shared" si="43"/>
        <v>51.850000000000009</v>
      </c>
      <c r="K924" s="4" t="str">
        <f t="shared" si="44"/>
        <v>F</v>
      </c>
      <c r="L924">
        <f>IF(Helper!$E$3="All",1,IF(C924=Helper!$E$3,1,0))</f>
        <v>1</v>
      </c>
    </row>
    <row r="925" spans="1:12" x14ac:dyDescent="0.3">
      <c r="A925" s="3" t="s">
        <v>156</v>
      </c>
      <c r="B925" s="3" t="s">
        <v>155</v>
      </c>
      <c r="C925" s="3" t="s">
        <v>0</v>
      </c>
      <c r="D925" s="7">
        <v>0.91</v>
      </c>
      <c r="E925" s="5">
        <v>60</v>
      </c>
      <c r="F925" s="5">
        <v>56</v>
      </c>
      <c r="G925" s="5">
        <v>82</v>
      </c>
      <c r="H925" s="5">
        <v>74</v>
      </c>
      <c r="I925" s="6" t="str">
        <f t="shared" si="42"/>
        <v/>
      </c>
      <c r="J925">
        <f t="shared" si="43"/>
        <v>78.199999999999989</v>
      </c>
      <c r="K925" s="4" t="str">
        <f t="shared" si="44"/>
        <v>C</v>
      </c>
      <c r="L925">
        <f>IF(Helper!$E$3="All",1,IF(C925=Helper!$E$3,1,0))</f>
        <v>1</v>
      </c>
    </row>
    <row r="926" spans="1:12" x14ac:dyDescent="0.3">
      <c r="A926" s="3" t="s">
        <v>154</v>
      </c>
      <c r="B926" s="3" t="s">
        <v>153</v>
      </c>
      <c r="C926" s="3" t="s">
        <v>8</v>
      </c>
      <c r="D926" s="7">
        <v>0.61</v>
      </c>
      <c r="E926" s="5">
        <v>92</v>
      </c>
      <c r="F926" s="5">
        <v>100</v>
      </c>
      <c r="G926" s="5">
        <v>82</v>
      </c>
      <c r="H926" s="5">
        <v>76</v>
      </c>
      <c r="I926" s="6" t="str">
        <f t="shared" si="42"/>
        <v/>
      </c>
      <c r="J926">
        <f t="shared" si="43"/>
        <v>72.8</v>
      </c>
      <c r="K926" s="4" t="str">
        <f t="shared" si="44"/>
        <v>C</v>
      </c>
      <c r="L926">
        <f>IF(Helper!$E$3="All",1,IF(C926=Helper!$E$3,1,0))</f>
        <v>1</v>
      </c>
    </row>
    <row r="927" spans="1:12" x14ac:dyDescent="0.3">
      <c r="A927" s="3" t="s">
        <v>152</v>
      </c>
      <c r="B927" s="3" t="s">
        <v>151</v>
      </c>
      <c r="C927" s="3" t="s">
        <v>0</v>
      </c>
      <c r="D927" s="7">
        <v>0.73</v>
      </c>
      <c r="E927" s="5">
        <v>57</v>
      </c>
      <c r="F927" s="5">
        <v>51</v>
      </c>
      <c r="G927" s="5">
        <v>92</v>
      </c>
      <c r="H927" s="5">
        <v>58</v>
      </c>
      <c r="I927" s="6">
        <f t="shared" si="42"/>
        <v>-34</v>
      </c>
      <c r="J927">
        <f t="shared" si="43"/>
        <v>75.400000000000006</v>
      </c>
      <c r="K927" s="4" t="str">
        <f t="shared" si="44"/>
        <v>C</v>
      </c>
      <c r="L927">
        <f>IF(Helper!$E$3="All",1,IF(C927=Helper!$E$3,1,0))</f>
        <v>1</v>
      </c>
    </row>
    <row r="928" spans="1:12" x14ac:dyDescent="0.3">
      <c r="A928" s="3" t="s">
        <v>150</v>
      </c>
      <c r="B928" s="3" t="s">
        <v>149</v>
      </c>
      <c r="C928" s="3" t="s">
        <v>8</v>
      </c>
      <c r="D928" s="7">
        <v>0.79</v>
      </c>
      <c r="E928" s="5">
        <v>76</v>
      </c>
      <c r="F928" s="5">
        <v>45</v>
      </c>
      <c r="G928" s="5">
        <v>55</v>
      </c>
      <c r="H928" s="5">
        <v>83</v>
      </c>
      <c r="I928" s="6">
        <f t="shared" si="42"/>
        <v>28</v>
      </c>
      <c r="J928">
        <f t="shared" si="43"/>
        <v>71.25</v>
      </c>
      <c r="K928" s="4" t="str">
        <f t="shared" si="44"/>
        <v>C</v>
      </c>
      <c r="L928">
        <f>IF(Helper!$E$3="All",1,IF(C928=Helper!$E$3,1,0))</f>
        <v>1</v>
      </c>
    </row>
    <row r="929" spans="1:12" x14ac:dyDescent="0.3">
      <c r="A929" s="3" t="s">
        <v>148</v>
      </c>
      <c r="B929" s="3" t="s">
        <v>147</v>
      </c>
      <c r="C929" s="3" t="s">
        <v>3</v>
      </c>
      <c r="D929" s="7">
        <v>0.81</v>
      </c>
      <c r="E929" s="5">
        <v>84</v>
      </c>
      <c r="F929" s="5">
        <v>65</v>
      </c>
      <c r="G929" s="5">
        <v>41</v>
      </c>
      <c r="H929" s="5">
        <v>68</v>
      </c>
      <c r="I929" s="6">
        <f t="shared" si="42"/>
        <v>27</v>
      </c>
      <c r="J929">
        <f t="shared" si="43"/>
        <v>61.05</v>
      </c>
      <c r="K929" s="4" t="str">
        <f t="shared" si="44"/>
        <v>D</v>
      </c>
      <c r="L929">
        <f>IF(Helper!$E$3="All",1,IF(C929=Helper!$E$3,1,0))</f>
        <v>1</v>
      </c>
    </row>
    <row r="930" spans="1:12" x14ac:dyDescent="0.3">
      <c r="A930" s="3" t="s">
        <v>146</v>
      </c>
      <c r="B930" s="3" t="s">
        <v>145</v>
      </c>
      <c r="C930" s="3" t="s">
        <v>17</v>
      </c>
      <c r="D930" s="7">
        <v>0.70000000000000007</v>
      </c>
      <c r="E930" s="5">
        <v>71</v>
      </c>
      <c r="F930" s="5">
        <v>66</v>
      </c>
      <c r="G930" s="5">
        <v>73</v>
      </c>
      <c r="H930" s="5">
        <v>98</v>
      </c>
      <c r="I930" s="6">
        <f t="shared" si="42"/>
        <v>25</v>
      </c>
      <c r="J930">
        <f t="shared" si="43"/>
        <v>75.25</v>
      </c>
      <c r="K930" s="4" t="str">
        <f t="shared" si="44"/>
        <v>C</v>
      </c>
      <c r="L930">
        <f>IF(Helper!$E$3="All",1,IF(C930=Helper!$E$3,1,0))</f>
        <v>1</v>
      </c>
    </row>
    <row r="931" spans="1:12" x14ac:dyDescent="0.3">
      <c r="A931" s="3" t="s">
        <v>144</v>
      </c>
      <c r="B931" s="3" t="s">
        <v>143</v>
      </c>
      <c r="C931" s="3" t="s">
        <v>8</v>
      </c>
      <c r="D931" s="7">
        <v>0.86</v>
      </c>
      <c r="E931" s="5">
        <v>75</v>
      </c>
      <c r="F931" s="5">
        <v>47</v>
      </c>
      <c r="G931" s="5">
        <v>94</v>
      </c>
      <c r="H931" s="5">
        <v>46</v>
      </c>
      <c r="I931" s="6">
        <f t="shared" si="42"/>
        <v>-48</v>
      </c>
      <c r="J931">
        <f t="shared" si="43"/>
        <v>72.099999999999994</v>
      </c>
      <c r="K931" s="4" t="str">
        <f t="shared" si="44"/>
        <v>C</v>
      </c>
      <c r="L931">
        <f>IF(Helper!$E$3="All",1,IF(C931=Helper!$E$3,1,0))</f>
        <v>1</v>
      </c>
    </row>
    <row r="932" spans="1:12" x14ac:dyDescent="0.3">
      <c r="A932" s="3" t="s">
        <v>142</v>
      </c>
      <c r="B932" s="3" t="s">
        <v>141</v>
      </c>
      <c r="C932" s="3" t="s">
        <v>0</v>
      </c>
      <c r="D932" s="7">
        <v>0.62</v>
      </c>
      <c r="E932" s="5">
        <v>56</v>
      </c>
      <c r="F932" s="5">
        <v>58</v>
      </c>
      <c r="G932" s="5">
        <v>47</v>
      </c>
      <c r="H932" s="5">
        <v>67</v>
      </c>
      <c r="I932" s="6">
        <f t="shared" si="42"/>
        <v>20</v>
      </c>
      <c r="J932">
        <f t="shared" si="43"/>
        <v>51.3</v>
      </c>
      <c r="K932" s="4" t="str">
        <f t="shared" si="44"/>
        <v>F</v>
      </c>
      <c r="L932">
        <f>IF(Helper!$E$3="All",1,IF(C932=Helper!$E$3,1,0))</f>
        <v>1</v>
      </c>
    </row>
    <row r="933" spans="1:12" x14ac:dyDescent="0.3">
      <c r="A933" s="3" t="s">
        <v>140</v>
      </c>
      <c r="B933" s="3" t="s">
        <v>139</v>
      </c>
      <c r="C933" s="3" t="s">
        <v>3</v>
      </c>
      <c r="D933" s="7">
        <v>0.76</v>
      </c>
      <c r="E933" s="5">
        <v>74</v>
      </c>
      <c r="F933" s="5">
        <v>99</v>
      </c>
      <c r="G933" s="5">
        <v>52</v>
      </c>
      <c r="H933" s="5">
        <v>48</v>
      </c>
      <c r="I933" s="6" t="str">
        <f t="shared" si="42"/>
        <v/>
      </c>
      <c r="J933">
        <f t="shared" si="43"/>
        <v>58.650000000000006</v>
      </c>
      <c r="K933" s="4" t="str">
        <f t="shared" si="44"/>
        <v>F</v>
      </c>
      <c r="L933">
        <f>IF(Helper!$E$3="All",1,IF(C933=Helper!$E$3,1,0))</f>
        <v>1</v>
      </c>
    </row>
    <row r="934" spans="1:12" x14ac:dyDescent="0.3">
      <c r="A934" s="3" t="s">
        <v>138</v>
      </c>
      <c r="B934" s="3" t="s">
        <v>137</v>
      </c>
      <c r="C934" s="3" t="s">
        <v>8</v>
      </c>
      <c r="D934" s="7">
        <v>0.87</v>
      </c>
      <c r="E934" s="5">
        <v>88</v>
      </c>
      <c r="F934" s="5">
        <v>81</v>
      </c>
      <c r="G934" s="5">
        <v>81</v>
      </c>
      <c r="H934" s="5">
        <v>67</v>
      </c>
      <c r="I934" s="6" t="str">
        <f t="shared" si="42"/>
        <v/>
      </c>
      <c r="J934">
        <f t="shared" si="43"/>
        <v>77.650000000000006</v>
      </c>
      <c r="K934" s="4" t="str">
        <f t="shared" si="44"/>
        <v>C</v>
      </c>
      <c r="L934">
        <f>IF(Helper!$E$3="All",1,IF(C934=Helper!$E$3,1,0))</f>
        <v>1</v>
      </c>
    </row>
    <row r="935" spans="1:12" x14ac:dyDescent="0.3">
      <c r="A935" s="3" t="s">
        <v>136</v>
      </c>
      <c r="B935" s="3" t="s">
        <v>135</v>
      </c>
      <c r="C935" s="3" t="s">
        <v>8</v>
      </c>
      <c r="D935" s="7">
        <v>0.88</v>
      </c>
      <c r="E935" s="5">
        <v>99</v>
      </c>
      <c r="F935" s="5">
        <v>40</v>
      </c>
      <c r="G935" s="5">
        <v>47</v>
      </c>
      <c r="H935" s="5">
        <v>45</v>
      </c>
      <c r="I935" s="6" t="str">
        <f t="shared" si="42"/>
        <v/>
      </c>
      <c r="J935">
        <f t="shared" si="43"/>
        <v>53.75</v>
      </c>
      <c r="K935" s="4" t="str">
        <f t="shared" si="44"/>
        <v>F</v>
      </c>
      <c r="L935">
        <f>IF(Helper!$E$3="All",1,IF(C935=Helper!$E$3,1,0))</f>
        <v>1</v>
      </c>
    </row>
    <row r="936" spans="1:12" x14ac:dyDescent="0.3">
      <c r="A936" s="3" t="s">
        <v>134</v>
      </c>
      <c r="B936" s="3" t="s">
        <v>133</v>
      </c>
      <c r="C936" s="3" t="s">
        <v>3</v>
      </c>
      <c r="D936" s="7">
        <v>0.8</v>
      </c>
      <c r="E936" s="5">
        <v>50</v>
      </c>
      <c r="F936" s="5">
        <v>96</v>
      </c>
      <c r="G936" s="5">
        <v>69</v>
      </c>
      <c r="H936" s="5">
        <v>68</v>
      </c>
      <c r="I936" s="6" t="str">
        <f t="shared" si="42"/>
        <v/>
      </c>
      <c r="J936">
        <f t="shared" si="43"/>
        <v>72.099999999999994</v>
      </c>
      <c r="K936" s="4" t="str">
        <f t="shared" si="44"/>
        <v>C</v>
      </c>
      <c r="L936">
        <f>IF(Helper!$E$3="All",1,IF(C936=Helper!$E$3,1,0))</f>
        <v>1</v>
      </c>
    </row>
    <row r="937" spans="1:12" x14ac:dyDescent="0.3">
      <c r="A937" s="3" t="s">
        <v>132</v>
      </c>
      <c r="B937" s="3" t="s">
        <v>131</v>
      </c>
      <c r="C937" s="3" t="s">
        <v>8</v>
      </c>
      <c r="D937" s="7">
        <v>0.75</v>
      </c>
      <c r="E937" s="5">
        <v>60</v>
      </c>
      <c r="F937" s="5">
        <v>68</v>
      </c>
      <c r="G937" s="5">
        <v>71</v>
      </c>
      <c r="H937" s="5">
        <v>97</v>
      </c>
      <c r="I937" s="6">
        <f t="shared" si="42"/>
        <v>26</v>
      </c>
      <c r="J937">
        <f t="shared" si="43"/>
        <v>83.6</v>
      </c>
      <c r="K937" s="4" t="str">
        <f t="shared" si="44"/>
        <v>B</v>
      </c>
      <c r="L937">
        <f>IF(Helper!$E$3="All",1,IF(C937=Helper!$E$3,1,0))</f>
        <v>1</v>
      </c>
    </row>
    <row r="938" spans="1:12" x14ac:dyDescent="0.3">
      <c r="A938" s="3" t="s">
        <v>130</v>
      </c>
      <c r="B938" s="3" t="s">
        <v>114</v>
      </c>
      <c r="C938" s="3" t="s">
        <v>17</v>
      </c>
      <c r="D938" s="7">
        <v>0.96</v>
      </c>
      <c r="E938" s="5">
        <v>91</v>
      </c>
      <c r="F938" s="5">
        <v>84</v>
      </c>
      <c r="G938" s="5">
        <v>75</v>
      </c>
      <c r="H938" s="5">
        <v>56</v>
      </c>
      <c r="I938" s="6" t="str">
        <f t="shared" si="42"/>
        <v/>
      </c>
      <c r="J938">
        <f t="shared" si="43"/>
        <v>71.150000000000006</v>
      </c>
      <c r="K938" s="4" t="str">
        <f t="shared" si="44"/>
        <v>C</v>
      </c>
      <c r="L938">
        <f>IF(Helper!$E$3="All",1,IF(C938=Helper!$E$3,1,0))</f>
        <v>1</v>
      </c>
    </row>
    <row r="939" spans="1:12" x14ac:dyDescent="0.3">
      <c r="A939" s="3" t="s">
        <v>129</v>
      </c>
      <c r="B939" s="3" t="s">
        <v>128</v>
      </c>
      <c r="C939" s="3" t="s">
        <v>8</v>
      </c>
      <c r="D939" s="7">
        <v>0.79</v>
      </c>
      <c r="E939" s="5">
        <v>94</v>
      </c>
      <c r="F939" s="5">
        <v>88</v>
      </c>
      <c r="G939" s="5">
        <v>86</v>
      </c>
      <c r="H939" s="5">
        <v>55</v>
      </c>
      <c r="I939" s="6">
        <f t="shared" si="42"/>
        <v>-31</v>
      </c>
      <c r="J939">
        <f t="shared" si="43"/>
        <v>75.5</v>
      </c>
      <c r="K939" s="4" t="str">
        <f t="shared" si="44"/>
        <v>C</v>
      </c>
      <c r="L939">
        <f>IF(Helper!$E$3="All",1,IF(C939=Helper!$E$3,1,0))</f>
        <v>1</v>
      </c>
    </row>
    <row r="940" spans="1:12" x14ac:dyDescent="0.3">
      <c r="A940" s="3" t="s">
        <v>127</v>
      </c>
      <c r="B940" s="3" t="s">
        <v>126</v>
      </c>
      <c r="C940" s="3" t="s">
        <v>17</v>
      </c>
      <c r="D940" s="7">
        <v>0.65</v>
      </c>
      <c r="E940" s="5">
        <v>92</v>
      </c>
      <c r="F940" s="5">
        <v>74</v>
      </c>
      <c r="G940" s="5">
        <v>69</v>
      </c>
      <c r="H940" s="5">
        <v>62</v>
      </c>
      <c r="I940" s="6" t="str">
        <f t="shared" si="42"/>
        <v/>
      </c>
      <c r="J940">
        <f t="shared" si="43"/>
        <v>60.7</v>
      </c>
      <c r="K940" s="4" t="str">
        <f t="shared" si="44"/>
        <v>D</v>
      </c>
      <c r="L940">
        <f>IF(Helper!$E$3="All",1,IF(C940=Helper!$E$3,1,0))</f>
        <v>1</v>
      </c>
    </row>
    <row r="941" spans="1:12" x14ac:dyDescent="0.3">
      <c r="A941" s="3" t="s">
        <v>125</v>
      </c>
      <c r="B941" s="3" t="s">
        <v>124</v>
      </c>
      <c r="C941" s="3" t="s">
        <v>17</v>
      </c>
      <c r="D941" s="7">
        <v>0.78</v>
      </c>
      <c r="E941" s="5">
        <v>65</v>
      </c>
      <c r="F941" s="5">
        <v>79</v>
      </c>
      <c r="G941" s="5">
        <v>40</v>
      </c>
      <c r="H941" s="5">
        <v>70</v>
      </c>
      <c r="I941" s="6">
        <f t="shared" si="42"/>
        <v>30</v>
      </c>
      <c r="J941">
        <f t="shared" si="43"/>
        <v>61.2</v>
      </c>
      <c r="K941" s="4" t="str">
        <f t="shared" si="44"/>
        <v>D</v>
      </c>
      <c r="L941">
        <f>IF(Helper!$E$3="All",1,IF(C941=Helper!$E$3,1,0))</f>
        <v>1</v>
      </c>
    </row>
    <row r="942" spans="1:12" x14ac:dyDescent="0.3">
      <c r="A942" s="3" t="s">
        <v>123</v>
      </c>
      <c r="B942" s="3" t="s">
        <v>122</v>
      </c>
      <c r="C942" s="3" t="s">
        <v>3</v>
      </c>
      <c r="D942" s="7">
        <v>0.64</v>
      </c>
      <c r="E942" s="5">
        <v>43</v>
      </c>
      <c r="F942" s="5">
        <v>53</v>
      </c>
      <c r="G942" s="5">
        <v>82</v>
      </c>
      <c r="H942" s="5">
        <v>42</v>
      </c>
      <c r="I942" s="6">
        <f t="shared" si="42"/>
        <v>-40</v>
      </c>
      <c r="J942">
        <f t="shared" si="43"/>
        <v>54.399999999999991</v>
      </c>
      <c r="K942" s="4" t="str">
        <f t="shared" si="44"/>
        <v>F</v>
      </c>
      <c r="L942">
        <f>IF(Helper!$E$3="All",1,IF(C942=Helper!$E$3,1,0))</f>
        <v>1</v>
      </c>
    </row>
    <row r="943" spans="1:12" x14ac:dyDescent="0.3">
      <c r="A943" s="3" t="s">
        <v>121</v>
      </c>
      <c r="B943" s="3" t="s">
        <v>120</v>
      </c>
      <c r="C943" s="3" t="s">
        <v>8</v>
      </c>
      <c r="D943" s="7">
        <v>0.62</v>
      </c>
      <c r="E943" s="5">
        <v>73</v>
      </c>
      <c r="F943" s="5">
        <v>74</v>
      </c>
      <c r="G943" s="5">
        <v>78</v>
      </c>
      <c r="H943" s="5">
        <v>60</v>
      </c>
      <c r="I943" s="6" t="str">
        <f t="shared" si="42"/>
        <v/>
      </c>
      <c r="J943">
        <f t="shared" si="43"/>
        <v>62.550000000000004</v>
      </c>
      <c r="K943" s="4" t="str">
        <f t="shared" si="44"/>
        <v>D</v>
      </c>
      <c r="L943">
        <f>IF(Helper!$E$3="All",1,IF(C943=Helper!$E$3,1,0))</f>
        <v>1</v>
      </c>
    </row>
    <row r="944" spans="1:12" x14ac:dyDescent="0.3">
      <c r="A944" s="3" t="s">
        <v>119</v>
      </c>
      <c r="B944" s="3" t="s">
        <v>118</v>
      </c>
      <c r="C944" s="3" t="s">
        <v>3</v>
      </c>
      <c r="D944" s="7">
        <v>0.6</v>
      </c>
      <c r="E944" s="5">
        <v>91</v>
      </c>
      <c r="F944" s="5">
        <v>87</v>
      </c>
      <c r="G944" s="5">
        <v>56</v>
      </c>
      <c r="H944" s="5">
        <v>65</v>
      </c>
      <c r="I944" s="6">
        <f t="shared" si="42"/>
        <v>9</v>
      </c>
      <c r="J944">
        <f t="shared" si="43"/>
        <v>57.3</v>
      </c>
      <c r="K944" s="4" t="str">
        <f t="shared" si="44"/>
        <v>F</v>
      </c>
      <c r="L944">
        <f>IF(Helper!$E$3="All",1,IF(C944=Helper!$E$3,1,0))</f>
        <v>1</v>
      </c>
    </row>
    <row r="945" spans="1:12" x14ac:dyDescent="0.3">
      <c r="A945" s="3" t="s">
        <v>117</v>
      </c>
      <c r="B945" s="3" t="s">
        <v>116</v>
      </c>
      <c r="C945" s="3" t="s">
        <v>8</v>
      </c>
      <c r="D945" s="7">
        <v>0.97</v>
      </c>
      <c r="E945" s="5">
        <v>87</v>
      </c>
      <c r="F945" s="5">
        <v>84</v>
      </c>
      <c r="G945" s="5">
        <v>98</v>
      </c>
      <c r="H945" s="5">
        <v>75</v>
      </c>
      <c r="I945" s="6" t="str">
        <f t="shared" si="42"/>
        <v/>
      </c>
      <c r="J945">
        <f t="shared" si="43"/>
        <v>87.75</v>
      </c>
      <c r="K945" s="4" t="str">
        <f t="shared" si="44"/>
        <v>B</v>
      </c>
      <c r="L945">
        <f>IF(Helper!$E$3="All",1,IF(C945=Helper!$E$3,1,0))</f>
        <v>1</v>
      </c>
    </row>
    <row r="946" spans="1:12" x14ac:dyDescent="0.3">
      <c r="A946" s="3" t="s">
        <v>115</v>
      </c>
      <c r="B946" s="3" t="s">
        <v>114</v>
      </c>
      <c r="C946" s="3" t="s">
        <v>8</v>
      </c>
      <c r="D946" s="7">
        <v>0.74</v>
      </c>
      <c r="E946" s="5">
        <v>99</v>
      </c>
      <c r="F946" s="5">
        <v>59</v>
      </c>
      <c r="G946" s="5">
        <v>59</v>
      </c>
      <c r="H946" s="5">
        <v>81</v>
      </c>
      <c r="I946" s="6">
        <f t="shared" si="42"/>
        <v>22</v>
      </c>
      <c r="J946">
        <f t="shared" si="43"/>
        <v>73.900000000000006</v>
      </c>
      <c r="K946" s="4" t="str">
        <f t="shared" si="44"/>
        <v>C</v>
      </c>
      <c r="L946">
        <f>IF(Helper!$E$3="All",1,IF(C946=Helper!$E$3,1,0))</f>
        <v>1</v>
      </c>
    </row>
    <row r="947" spans="1:12" x14ac:dyDescent="0.3">
      <c r="A947" s="3" t="s">
        <v>113</v>
      </c>
      <c r="B947" s="3" t="s">
        <v>112</v>
      </c>
      <c r="C947" s="3" t="s">
        <v>0</v>
      </c>
      <c r="D947" s="7">
        <v>0.93</v>
      </c>
      <c r="E947" s="5">
        <v>57</v>
      </c>
      <c r="F947" s="5">
        <v>95</v>
      </c>
      <c r="G947" s="5">
        <v>63</v>
      </c>
      <c r="H947" s="5">
        <v>76</v>
      </c>
      <c r="I947" s="6">
        <f t="shared" si="42"/>
        <v>13</v>
      </c>
      <c r="J947">
        <f t="shared" si="43"/>
        <v>73.199999999999989</v>
      </c>
      <c r="K947" s="4" t="str">
        <f t="shared" si="44"/>
        <v>C</v>
      </c>
      <c r="L947">
        <f>IF(Helper!$E$3="All",1,IF(C947=Helper!$E$3,1,0))</f>
        <v>1</v>
      </c>
    </row>
    <row r="948" spans="1:12" x14ac:dyDescent="0.3">
      <c r="A948" s="3" t="s">
        <v>111</v>
      </c>
      <c r="B948" s="3" t="s">
        <v>110</v>
      </c>
      <c r="C948" s="3" t="s">
        <v>8</v>
      </c>
      <c r="D948" s="7">
        <v>0.94000000000000006</v>
      </c>
      <c r="E948" s="5">
        <v>79</v>
      </c>
      <c r="F948" s="5">
        <v>88</v>
      </c>
      <c r="G948" s="5">
        <v>89</v>
      </c>
      <c r="H948" s="5">
        <v>92</v>
      </c>
      <c r="I948" s="6" t="str">
        <f t="shared" si="42"/>
        <v/>
      </c>
      <c r="J948">
        <f t="shared" si="43"/>
        <v>90.75</v>
      </c>
      <c r="K948" s="4" t="str">
        <f t="shared" si="44"/>
        <v>A</v>
      </c>
      <c r="L948">
        <f>IF(Helper!$E$3="All",1,IF(C948=Helper!$E$3,1,0))</f>
        <v>1</v>
      </c>
    </row>
    <row r="949" spans="1:12" x14ac:dyDescent="0.3">
      <c r="A949" s="3" t="s">
        <v>109</v>
      </c>
      <c r="B949" s="3" t="s">
        <v>108</v>
      </c>
      <c r="C949" s="3" t="s">
        <v>3</v>
      </c>
      <c r="D949" s="7">
        <v>0.84</v>
      </c>
      <c r="E949" s="5">
        <v>74</v>
      </c>
      <c r="F949" s="5">
        <v>52</v>
      </c>
      <c r="G949" s="5">
        <v>61</v>
      </c>
      <c r="H949" s="5">
        <v>61</v>
      </c>
      <c r="I949" s="6" t="str">
        <f t="shared" si="42"/>
        <v/>
      </c>
      <c r="J949">
        <f t="shared" si="43"/>
        <v>65.099999999999994</v>
      </c>
      <c r="K949" s="4" t="str">
        <f t="shared" si="44"/>
        <v>D</v>
      </c>
      <c r="L949">
        <f>IF(Helper!$E$3="All",1,IF(C949=Helper!$E$3,1,0))</f>
        <v>1</v>
      </c>
    </row>
    <row r="950" spans="1:12" x14ac:dyDescent="0.3">
      <c r="A950" s="3" t="s">
        <v>107</v>
      </c>
      <c r="B950" s="3" t="s">
        <v>106</v>
      </c>
      <c r="C950" s="3" t="s">
        <v>17</v>
      </c>
      <c r="D950" s="7">
        <v>0.83000000000000007</v>
      </c>
      <c r="E950" s="5">
        <v>80</v>
      </c>
      <c r="F950" s="5">
        <v>100</v>
      </c>
      <c r="G950" s="5">
        <v>68</v>
      </c>
      <c r="H950" s="5">
        <v>81</v>
      </c>
      <c r="I950" s="6">
        <f t="shared" si="42"/>
        <v>13</v>
      </c>
      <c r="J950">
        <f t="shared" si="43"/>
        <v>78.600000000000009</v>
      </c>
      <c r="K950" s="4" t="str">
        <f t="shared" si="44"/>
        <v>C</v>
      </c>
      <c r="L950">
        <f>IF(Helper!$E$3="All",1,IF(C950=Helper!$E$3,1,0))</f>
        <v>1</v>
      </c>
    </row>
    <row r="951" spans="1:12" x14ac:dyDescent="0.3">
      <c r="A951" s="3" t="s">
        <v>105</v>
      </c>
      <c r="B951" s="3" t="s">
        <v>104</v>
      </c>
      <c r="C951" s="3" t="s">
        <v>8</v>
      </c>
      <c r="D951" s="7">
        <v>0.71</v>
      </c>
      <c r="E951" s="5">
        <v>68</v>
      </c>
      <c r="F951" s="5">
        <v>77</v>
      </c>
      <c r="G951" s="5">
        <v>61</v>
      </c>
      <c r="H951" s="5">
        <v>51</v>
      </c>
      <c r="I951" s="6" t="str">
        <f t="shared" si="42"/>
        <v/>
      </c>
      <c r="J951">
        <f t="shared" si="43"/>
        <v>62.05</v>
      </c>
      <c r="K951" s="4" t="str">
        <f t="shared" si="44"/>
        <v>D</v>
      </c>
      <c r="L951">
        <f>IF(Helper!$E$3="All",1,IF(C951=Helper!$E$3,1,0))</f>
        <v>1</v>
      </c>
    </row>
    <row r="952" spans="1:12" x14ac:dyDescent="0.3">
      <c r="A952" s="3" t="s">
        <v>103</v>
      </c>
      <c r="B952" s="3" t="s">
        <v>102</v>
      </c>
      <c r="C952" s="3" t="s">
        <v>0</v>
      </c>
      <c r="D952" s="7">
        <v>0.77</v>
      </c>
      <c r="E952" s="5">
        <v>91</v>
      </c>
      <c r="F952" s="5">
        <v>88</v>
      </c>
      <c r="G952" s="5">
        <v>83</v>
      </c>
      <c r="H952" s="5">
        <v>81</v>
      </c>
      <c r="I952" s="6" t="str">
        <f t="shared" si="42"/>
        <v/>
      </c>
      <c r="J952">
        <f t="shared" si="43"/>
        <v>84.550000000000011</v>
      </c>
      <c r="K952" s="4" t="str">
        <f t="shared" si="44"/>
        <v>B</v>
      </c>
      <c r="L952">
        <f>IF(Helper!$E$3="All",1,IF(C952=Helper!$E$3,1,0))</f>
        <v>1</v>
      </c>
    </row>
    <row r="953" spans="1:12" x14ac:dyDescent="0.3">
      <c r="A953" s="3" t="s">
        <v>101</v>
      </c>
      <c r="B953" s="3" t="s">
        <v>100</v>
      </c>
      <c r="C953" s="3" t="s">
        <v>3</v>
      </c>
      <c r="D953" s="7">
        <v>0.74</v>
      </c>
      <c r="E953" s="5">
        <v>68</v>
      </c>
      <c r="F953" s="5">
        <v>85</v>
      </c>
      <c r="G953" s="5">
        <v>48</v>
      </c>
      <c r="H953" s="5">
        <v>100</v>
      </c>
      <c r="I953" s="6">
        <f t="shared" si="42"/>
        <v>52</v>
      </c>
      <c r="J953">
        <f t="shared" si="43"/>
        <v>76.849999999999994</v>
      </c>
      <c r="K953" s="4" t="str">
        <f t="shared" si="44"/>
        <v>C</v>
      </c>
      <c r="L953">
        <f>IF(Helper!$E$3="All",1,IF(C953=Helper!$E$3,1,0))</f>
        <v>1</v>
      </c>
    </row>
    <row r="954" spans="1:12" x14ac:dyDescent="0.3">
      <c r="A954" s="3" t="s">
        <v>99</v>
      </c>
      <c r="B954" s="3" t="s">
        <v>98</v>
      </c>
      <c r="C954" s="3" t="s">
        <v>8</v>
      </c>
      <c r="D954" s="7">
        <v>0.75</v>
      </c>
      <c r="E954" s="5">
        <v>77</v>
      </c>
      <c r="F954" s="5">
        <v>88</v>
      </c>
      <c r="G954" s="5">
        <v>76</v>
      </c>
      <c r="H954" s="5">
        <v>52</v>
      </c>
      <c r="I954" s="6" t="str">
        <f t="shared" si="42"/>
        <v/>
      </c>
      <c r="J954">
        <f t="shared" si="43"/>
        <v>69.45</v>
      </c>
      <c r="K954" s="4" t="str">
        <f t="shared" si="44"/>
        <v>D</v>
      </c>
      <c r="L954">
        <f>IF(Helper!$E$3="All",1,IF(C954=Helper!$E$3,1,0))</f>
        <v>1</v>
      </c>
    </row>
    <row r="955" spans="1:12" x14ac:dyDescent="0.3">
      <c r="A955" s="3" t="s">
        <v>97</v>
      </c>
      <c r="B955" s="3" t="s">
        <v>96</v>
      </c>
      <c r="C955" s="3" t="s">
        <v>3</v>
      </c>
      <c r="D955" s="7">
        <v>0.86</v>
      </c>
      <c r="E955" s="5">
        <v>81</v>
      </c>
      <c r="F955" s="5">
        <v>47</v>
      </c>
      <c r="G955" s="5">
        <v>49</v>
      </c>
      <c r="H955" s="5">
        <v>50</v>
      </c>
      <c r="I955" s="6" t="str">
        <f t="shared" si="42"/>
        <v/>
      </c>
      <c r="J955">
        <f t="shared" si="43"/>
        <v>56</v>
      </c>
      <c r="K955" s="4" t="str">
        <f t="shared" si="44"/>
        <v>F</v>
      </c>
      <c r="L955">
        <f>IF(Helper!$E$3="All",1,IF(C955=Helper!$E$3,1,0))</f>
        <v>1</v>
      </c>
    </row>
    <row r="956" spans="1:12" x14ac:dyDescent="0.3">
      <c r="A956" s="3" t="s">
        <v>95</v>
      </c>
      <c r="B956" s="3" t="s">
        <v>94</v>
      </c>
      <c r="C956" s="3" t="s">
        <v>0</v>
      </c>
      <c r="D956" s="7">
        <v>0.67</v>
      </c>
      <c r="E956" s="5">
        <v>60</v>
      </c>
      <c r="F956" s="5">
        <v>82</v>
      </c>
      <c r="G956" s="5">
        <v>75</v>
      </c>
      <c r="H956" s="5">
        <v>93</v>
      </c>
      <c r="I956" s="6">
        <f t="shared" si="42"/>
        <v>18</v>
      </c>
      <c r="J956">
        <f t="shared" si="43"/>
        <v>74.300000000000011</v>
      </c>
      <c r="K956" s="4" t="str">
        <f t="shared" si="44"/>
        <v>C</v>
      </c>
      <c r="L956">
        <f>IF(Helper!$E$3="All",1,IF(C956=Helper!$E$3,1,0))</f>
        <v>1</v>
      </c>
    </row>
    <row r="957" spans="1:12" x14ac:dyDescent="0.3">
      <c r="A957" s="3" t="s">
        <v>93</v>
      </c>
      <c r="B957" s="3" t="s">
        <v>92</v>
      </c>
      <c r="C957" s="3" t="s">
        <v>0</v>
      </c>
      <c r="D957" s="7">
        <v>0.84</v>
      </c>
      <c r="E957" s="5">
        <v>81</v>
      </c>
      <c r="F957" s="5">
        <v>59</v>
      </c>
      <c r="G957" s="5">
        <v>76</v>
      </c>
      <c r="H957" s="5">
        <v>55</v>
      </c>
      <c r="I957" s="6" t="str">
        <f t="shared" si="42"/>
        <v/>
      </c>
      <c r="J957">
        <f t="shared" si="43"/>
        <v>69.400000000000006</v>
      </c>
      <c r="K957" s="4" t="str">
        <f t="shared" si="44"/>
        <v>D</v>
      </c>
      <c r="L957">
        <f>IF(Helper!$E$3="All",1,IF(C957=Helper!$E$3,1,0))</f>
        <v>1</v>
      </c>
    </row>
    <row r="958" spans="1:12" x14ac:dyDescent="0.3">
      <c r="A958" s="3" t="s">
        <v>91</v>
      </c>
      <c r="B958" s="3" t="s">
        <v>90</v>
      </c>
      <c r="C958" s="3" t="s">
        <v>3</v>
      </c>
      <c r="D958" s="7">
        <v>0.76</v>
      </c>
      <c r="E958" s="5">
        <v>52</v>
      </c>
      <c r="F958" s="5">
        <v>99</v>
      </c>
      <c r="G958" s="5">
        <v>67</v>
      </c>
      <c r="H958" s="5">
        <v>47</v>
      </c>
      <c r="I958" s="6" t="str">
        <f t="shared" si="42"/>
        <v/>
      </c>
      <c r="J958">
        <f t="shared" si="43"/>
        <v>63.15</v>
      </c>
      <c r="K958" s="4" t="str">
        <f t="shared" si="44"/>
        <v>D</v>
      </c>
      <c r="L958">
        <f>IF(Helper!$E$3="All",1,IF(C958=Helper!$E$3,1,0))</f>
        <v>1</v>
      </c>
    </row>
    <row r="959" spans="1:12" x14ac:dyDescent="0.3">
      <c r="A959" s="3" t="s">
        <v>89</v>
      </c>
      <c r="B959" s="3" t="s">
        <v>88</v>
      </c>
      <c r="C959" s="3" t="s">
        <v>8</v>
      </c>
      <c r="D959" s="7">
        <v>0.88</v>
      </c>
      <c r="E959" s="5">
        <v>88</v>
      </c>
      <c r="F959" s="5">
        <v>72</v>
      </c>
      <c r="G959" s="5">
        <v>67</v>
      </c>
      <c r="H959" s="5">
        <v>79</v>
      </c>
      <c r="I959" s="6">
        <f t="shared" si="42"/>
        <v>12</v>
      </c>
      <c r="J959">
        <f t="shared" si="43"/>
        <v>76.400000000000006</v>
      </c>
      <c r="K959" s="4" t="str">
        <f t="shared" si="44"/>
        <v>C</v>
      </c>
      <c r="L959">
        <f>IF(Helper!$E$3="All",1,IF(C959=Helper!$E$3,1,0))</f>
        <v>1</v>
      </c>
    </row>
    <row r="960" spans="1:12" x14ac:dyDescent="0.3">
      <c r="A960" s="3" t="s">
        <v>87</v>
      </c>
      <c r="B960" s="3" t="s">
        <v>86</v>
      </c>
      <c r="C960" s="3" t="s">
        <v>17</v>
      </c>
      <c r="D960" s="7">
        <v>0.67</v>
      </c>
      <c r="E960" s="5">
        <v>80</v>
      </c>
      <c r="F960" s="5">
        <v>65</v>
      </c>
      <c r="G960" s="5">
        <v>81</v>
      </c>
      <c r="H960" s="5">
        <v>98</v>
      </c>
      <c r="I960" s="6">
        <f t="shared" si="42"/>
        <v>17</v>
      </c>
      <c r="J960">
        <f t="shared" si="43"/>
        <v>78.850000000000009</v>
      </c>
      <c r="K960" s="4" t="str">
        <f t="shared" si="44"/>
        <v>C</v>
      </c>
      <c r="L960">
        <f>IF(Helper!$E$3="All",1,IF(C960=Helper!$E$3,1,0))</f>
        <v>1</v>
      </c>
    </row>
    <row r="961" spans="1:12" x14ac:dyDescent="0.3">
      <c r="A961" s="3" t="s">
        <v>85</v>
      </c>
      <c r="B961" s="3" t="s">
        <v>84</v>
      </c>
      <c r="C961" s="3" t="s">
        <v>0</v>
      </c>
      <c r="D961" s="7">
        <v>0.74</v>
      </c>
      <c r="E961" s="5">
        <v>56</v>
      </c>
      <c r="F961" s="5">
        <v>78</v>
      </c>
      <c r="G961" s="5">
        <v>82</v>
      </c>
      <c r="H961" s="5">
        <v>96</v>
      </c>
      <c r="I961" s="6">
        <f t="shared" si="42"/>
        <v>14</v>
      </c>
      <c r="J961">
        <f t="shared" si="43"/>
        <v>87.9</v>
      </c>
      <c r="K961" s="4" t="str">
        <f t="shared" si="44"/>
        <v>B</v>
      </c>
      <c r="L961">
        <f>IF(Helper!$E$3="All",1,IF(C961=Helper!$E$3,1,0))</f>
        <v>1</v>
      </c>
    </row>
    <row r="962" spans="1:12" x14ac:dyDescent="0.3">
      <c r="A962" s="3" t="s">
        <v>83</v>
      </c>
      <c r="B962" s="3" t="s">
        <v>82</v>
      </c>
      <c r="C962" s="3" t="s">
        <v>8</v>
      </c>
      <c r="D962" s="7">
        <v>0.86</v>
      </c>
      <c r="E962" s="5">
        <v>95</v>
      </c>
      <c r="F962" s="5">
        <v>60</v>
      </c>
      <c r="G962" s="5">
        <v>60</v>
      </c>
      <c r="H962" s="5">
        <v>79</v>
      </c>
      <c r="I962" s="6">
        <f t="shared" ref="I962:I1001" si="45">IF(H962&gt;G962*1.15,H962-G962,IF(H962&lt;G962*0.65,H962-G962,""))</f>
        <v>19</v>
      </c>
      <c r="J962">
        <f t="shared" ref="J962:J1001" si="46">IF(ISBLANK(D962),"",IF(D962&gt;0.7,10,0)+(E962/100*5)+(F962/100*5)+(G962/100*40)+(H962/100*40))</f>
        <v>73.349999999999994</v>
      </c>
      <c r="K962" s="4" t="str">
        <f t="shared" ref="K962:K1001" si="47">IF(J962&gt;=90,"A",IF(J962&gt;=80,"B",IF(J962&gt;=70,"C",IF(J962&gt;=60,"D","F"))))</f>
        <v>C</v>
      </c>
      <c r="L962">
        <f>IF(Helper!$E$3="All",1,IF(C962=Helper!$E$3,1,0))</f>
        <v>1</v>
      </c>
    </row>
    <row r="963" spans="1:12" x14ac:dyDescent="0.3">
      <c r="A963" s="3" t="s">
        <v>81</v>
      </c>
      <c r="B963" s="3" t="s">
        <v>80</v>
      </c>
      <c r="C963" s="3" t="s">
        <v>8</v>
      </c>
      <c r="D963" s="7">
        <v>0.66</v>
      </c>
      <c r="E963" s="5">
        <v>48</v>
      </c>
      <c r="F963" s="5">
        <v>92</v>
      </c>
      <c r="G963" s="5">
        <v>63</v>
      </c>
      <c r="H963" s="5">
        <v>84</v>
      </c>
      <c r="I963" s="6">
        <f t="shared" si="45"/>
        <v>21</v>
      </c>
      <c r="J963">
        <f t="shared" si="46"/>
        <v>65.800000000000011</v>
      </c>
      <c r="K963" s="4" t="str">
        <f t="shared" si="47"/>
        <v>D</v>
      </c>
      <c r="L963">
        <f>IF(Helper!$E$3="All",1,IF(C963=Helper!$E$3,1,0))</f>
        <v>1</v>
      </c>
    </row>
    <row r="964" spans="1:12" x14ac:dyDescent="0.3">
      <c r="A964" s="3" t="s">
        <v>79</v>
      </c>
      <c r="B964" s="3" t="s">
        <v>78</v>
      </c>
      <c r="C964" s="3" t="s">
        <v>17</v>
      </c>
      <c r="D964" s="7">
        <v>0.62</v>
      </c>
      <c r="E964" s="5">
        <v>80</v>
      </c>
      <c r="F964" s="5">
        <v>88</v>
      </c>
      <c r="G964" s="5">
        <v>81</v>
      </c>
      <c r="H964" s="5">
        <v>98</v>
      </c>
      <c r="I964" s="6">
        <f t="shared" si="45"/>
        <v>17</v>
      </c>
      <c r="J964">
        <f t="shared" si="46"/>
        <v>80</v>
      </c>
      <c r="K964" s="4" t="str">
        <f t="shared" si="47"/>
        <v>B</v>
      </c>
      <c r="L964">
        <f>IF(Helper!$E$3="All",1,IF(C964=Helper!$E$3,1,0))</f>
        <v>1</v>
      </c>
    </row>
    <row r="965" spans="1:12" x14ac:dyDescent="0.3">
      <c r="A965" s="3" t="s">
        <v>77</v>
      </c>
      <c r="B965" s="3" t="s">
        <v>76</v>
      </c>
      <c r="C965" s="3" t="s">
        <v>0</v>
      </c>
      <c r="D965" s="7">
        <v>0.88</v>
      </c>
      <c r="E965" s="5">
        <v>40</v>
      </c>
      <c r="F965" s="5">
        <v>81</v>
      </c>
      <c r="G965" s="5">
        <v>99</v>
      </c>
      <c r="H965" s="5">
        <v>41</v>
      </c>
      <c r="I965" s="6">
        <f t="shared" si="45"/>
        <v>-58</v>
      </c>
      <c r="J965">
        <f t="shared" si="46"/>
        <v>72.050000000000011</v>
      </c>
      <c r="K965" s="4" t="str">
        <f t="shared" si="47"/>
        <v>C</v>
      </c>
      <c r="L965">
        <f>IF(Helper!$E$3="All",1,IF(C965=Helper!$E$3,1,0))</f>
        <v>1</v>
      </c>
    </row>
    <row r="966" spans="1:12" x14ac:dyDescent="0.3">
      <c r="A966" s="3" t="s">
        <v>75</v>
      </c>
      <c r="B966" s="3" t="s">
        <v>74</v>
      </c>
      <c r="C966" s="3" t="s">
        <v>0</v>
      </c>
      <c r="D966" s="7">
        <v>0.83000000000000007</v>
      </c>
      <c r="E966" s="5">
        <v>41</v>
      </c>
      <c r="F966" s="5">
        <v>82</v>
      </c>
      <c r="G966" s="5">
        <v>79</v>
      </c>
      <c r="H966" s="5">
        <v>69</v>
      </c>
      <c r="I966" s="6" t="str">
        <f t="shared" si="45"/>
        <v/>
      </c>
      <c r="J966">
        <f t="shared" si="46"/>
        <v>75.349999999999994</v>
      </c>
      <c r="K966" s="4" t="str">
        <f t="shared" si="47"/>
        <v>C</v>
      </c>
      <c r="L966">
        <f>IF(Helper!$E$3="All",1,IF(C966=Helper!$E$3,1,0))</f>
        <v>1</v>
      </c>
    </row>
    <row r="967" spans="1:12" x14ac:dyDescent="0.3">
      <c r="A967" s="3" t="s">
        <v>73</v>
      </c>
      <c r="B967" s="3" t="s">
        <v>72</v>
      </c>
      <c r="C967" s="3" t="s">
        <v>8</v>
      </c>
      <c r="D967" s="7">
        <v>0.62</v>
      </c>
      <c r="E967" s="5">
        <v>99</v>
      </c>
      <c r="F967" s="5">
        <v>93</v>
      </c>
      <c r="G967" s="5">
        <v>41</v>
      </c>
      <c r="H967" s="5">
        <v>69</v>
      </c>
      <c r="I967" s="6">
        <f t="shared" si="45"/>
        <v>28</v>
      </c>
      <c r="J967">
        <f t="shared" si="46"/>
        <v>53.599999999999994</v>
      </c>
      <c r="K967" s="4" t="str">
        <f t="shared" si="47"/>
        <v>F</v>
      </c>
      <c r="L967">
        <f>IF(Helper!$E$3="All",1,IF(C967=Helper!$E$3,1,0))</f>
        <v>1</v>
      </c>
    </row>
    <row r="968" spans="1:12" x14ac:dyDescent="0.3">
      <c r="A968" s="3" t="s">
        <v>71</v>
      </c>
      <c r="B968" s="3" t="s">
        <v>70</v>
      </c>
      <c r="C968" s="3" t="s">
        <v>8</v>
      </c>
      <c r="D968" s="7">
        <v>0.79</v>
      </c>
      <c r="E968" s="5">
        <v>87</v>
      </c>
      <c r="F968" s="5">
        <v>80</v>
      </c>
      <c r="G968" s="5">
        <v>94</v>
      </c>
      <c r="H968" s="5">
        <v>51</v>
      </c>
      <c r="I968" s="6">
        <f t="shared" si="45"/>
        <v>-43</v>
      </c>
      <c r="J968">
        <f t="shared" si="46"/>
        <v>76.349999999999994</v>
      </c>
      <c r="K968" s="4" t="str">
        <f t="shared" si="47"/>
        <v>C</v>
      </c>
      <c r="L968">
        <f>IF(Helper!$E$3="All",1,IF(C968=Helper!$E$3,1,0))</f>
        <v>1</v>
      </c>
    </row>
    <row r="969" spans="1:12" x14ac:dyDescent="0.3">
      <c r="A969" s="3" t="s">
        <v>69</v>
      </c>
      <c r="B969" s="3" t="s">
        <v>68</v>
      </c>
      <c r="C969" s="3" t="s">
        <v>17</v>
      </c>
      <c r="D969" s="7">
        <v>0.74</v>
      </c>
      <c r="E969" s="5">
        <v>68</v>
      </c>
      <c r="F969" s="5">
        <v>48</v>
      </c>
      <c r="G969" s="5">
        <v>47</v>
      </c>
      <c r="H969" s="5">
        <v>49</v>
      </c>
      <c r="I969" s="6" t="str">
        <f t="shared" si="45"/>
        <v/>
      </c>
      <c r="J969">
        <f t="shared" si="46"/>
        <v>54.199999999999996</v>
      </c>
      <c r="K969" s="4" t="str">
        <f t="shared" si="47"/>
        <v>F</v>
      </c>
      <c r="L969">
        <f>IF(Helper!$E$3="All",1,IF(C969=Helper!$E$3,1,0))</f>
        <v>1</v>
      </c>
    </row>
    <row r="970" spans="1:12" x14ac:dyDescent="0.3">
      <c r="A970" s="3" t="s">
        <v>67</v>
      </c>
      <c r="B970" s="3" t="s">
        <v>66</v>
      </c>
      <c r="C970" s="3" t="s">
        <v>17</v>
      </c>
      <c r="D970" s="7">
        <v>0.84</v>
      </c>
      <c r="E970" s="5">
        <v>72</v>
      </c>
      <c r="F970" s="5">
        <v>63</v>
      </c>
      <c r="G970" s="5">
        <v>87</v>
      </c>
      <c r="H970" s="5">
        <v>83</v>
      </c>
      <c r="I970" s="6" t="str">
        <f t="shared" si="45"/>
        <v/>
      </c>
      <c r="J970">
        <f t="shared" si="46"/>
        <v>84.75</v>
      </c>
      <c r="K970" s="4" t="str">
        <f t="shared" si="47"/>
        <v>B</v>
      </c>
      <c r="L970">
        <f>IF(Helper!$E$3="All",1,IF(C970=Helper!$E$3,1,0))</f>
        <v>1</v>
      </c>
    </row>
    <row r="971" spans="1:12" x14ac:dyDescent="0.3">
      <c r="A971" s="3" t="s">
        <v>65</v>
      </c>
      <c r="B971" s="3" t="s">
        <v>64</v>
      </c>
      <c r="C971" s="3" t="s">
        <v>0</v>
      </c>
      <c r="D971" s="7">
        <v>0.89</v>
      </c>
      <c r="E971" s="5">
        <v>49</v>
      </c>
      <c r="F971" s="5">
        <v>76</v>
      </c>
      <c r="G971" s="5">
        <v>66</v>
      </c>
      <c r="H971" s="5">
        <v>50</v>
      </c>
      <c r="I971" s="6" t="str">
        <f t="shared" si="45"/>
        <v/>
      </c>
      <c r="J971">
        <f t="shared" si="46"/>
        <v>62.650000000000006</v>
      </c>
      <c r="K971" s="4" t="str">
        <f t="shared" si="47"/>
        <v>D</v>
      </c>
      <c r="L971">
        <f>IF(Helper!$E$3="All",1,IF(C971=Helper!$E$3,1,0))</f>
        <v>1</v>
      </c>
    </row>
    <row r="972" spans="1:12" x14ac:dyDescent="0.3">
      <c r="A972" s="3" t="s">
        <v>63</v>
      </c>
      <c r="B972" s="3" t="s">
        <v>62</v>
      </c>
      <c r="C972" s="3" t="s">
        <v>3</v>
      </c>
      <c r="D972" s="7">
        <v>0.73</v>
      </c>
      <c r="E972" s="5">
        <v>89</v>
      </c>
      <c r="F972" s="5">
        <v>88</v>
      </c>
      <c r="G972" s="5">
        <v>61</v>
      </c>
      <c r="H972" s="5">
        <v>54</v>
      </c>
      <c r="I972" s="6" t="str">
        <f t="shared" si="45"/>
        <v/>
      </c>
      <c r="J972">
        <f t="shared" si="46"/>
        <v>64.849999999999994</v>
      </c>
      <c r="K972" s="4" t="str">
        <f t="shared" si="47"/>
        <v>D</v>
      </c>
      <c r="L972">
        <f>IF(Helper!$E$3="All",1,IF(C972=Helper!$E$3,1,0))</f>
        <v>1</v>
      </c>
    </row>
    <row r="973" spans="1:12" x14ac:dyDescent="0.3">
      <c r="A973" s="3" t="s">
        <v>61</v>
      </c>
      <c r="B973" s="3" t="s">
        <v>60</v>
      </c>
      <c r="C973" s="3" t="s">
        <v>0</v>
      </c>
      <c r="D973" s="7">
        <v>0.66</v>
      </c>
      <c r="E973" s="5">
        <v>97</v>
      </c>
      <c r="F973" s="5">
        <v>80</v>
      </c>
      <c r="G973" s="5">
        <v>76</v>
      </c>
      <c r="H973" s="5">
        <v>55</v>
      </c>
      <c r="I973" s="6" t="str">
        <f t="shared" si="45"/>
        <v/>
      </c>
      <c r="J973">
        <f t="shared" si="46"/>
        <v>61.25</v>
      </c>
      <c r="K973" s="4" t="str">
        <f t="shared" si="47"/>
        <v>D</v>
      </c>
      <c r="L973">
        <f>IF(Helper!$E$3="All",1,IF(C973=Helper!$E$3,1,0))</f>
        <v>1</v>
      </c>
    </row>
    <row r="974" spans="1:12" x14ac:dyDescent="0.3">
      <c r="A974" s="3" t="s">
        <v>59</v>
      </c>
      <c r="B974" s="3" t="s">
        <v>58</v>
      </c>
      <c r="C974" s="3" t="s">
        <v>8</v>
      </c>
      <c r="D974" s="7">
        <v>0.76</v>
      </c>
      <c r="E974" s="5">
        <v>99</v>
      </c>
      <c r="F974" s="5">
        <v>56</v>
      </c>
      <c r="G974" s="5">
        <v>66</v>
      </c>
      <c r="H974" s="5">
        <v>56</v>
      </c>
      <c r="I974" s="6" t="str">
        <f t="shared" si="45"/>
        <v/>
      </c>
      <c r="J974">
        <f t="shared" si="46"/>
        <v>66.550000000000011</v>
      </c>
      <c r="K974" s="4" t="str">
        <f t="shared" si="47"/>
        <v>D</v>
      </c>
      <c r="L974">
        <f>IF(Helper!$E$3="All",1,IF(C974=Helper!$E$3,1,0))</f>
        <v>1</v>
      </c>
    </row>
    <row r="975" spans="1:12" x14ac:dyDescent="0.3">
      <c r="A975" s="3" t="s">
        <v>57</v>
      </c>
      <c r="B975" s="3" t="s">
        <v>56</v>
      </c>
      <c r="C975" s="3" t="s">
        <v>0</v>
      </c>
      <c r="D975" s="7">
        <v>0.79</v>
      </c>
      <c r="E975" s="5">
        <v>79</v>
      </c>
      <c r="F975" s="5">
        <v>63</v>
      </c>
      <c r="G975" s="5">
        <v>96</v>
      </c>
      <c r="H975" s="5">
        <v>65</v>
      </c>
      <c r="I975" s="6" t="str">
        <f t="shared" si="45"/>
        <v/>
      </c>
      <c r="J975">
        <f t="shared" si="46"/>
        <v>81.5</v>
      </c>
      <c r="K975" s="4" t="str">
        <f t="shared" si="47"/>
        <v>B</v>
      </c>
      <c r="L975">
        <f>IF(Helper!$E$3="All",1,IF(C975=Helper!$E$3,1,0))</f>
        <v>1</v>
      </c>
    </row>
    <row r="976" spans="1:12" x14ac:dyDescent="0.3">
      <c r="A976" s="3" t="s">
        <v>55</v>
      </c>
      <c r="B976" s="3" t="s">
        <v>54</v>
      </c>
      <c r="C976" s="3" t="s">
        <v>3</v>
      </c>
      <c r="D976" s="7">
        <v>0.95000000000000007</v>
      </c>
      <c r="E976" s="5">
        <v>60</v>
      </c>
      <c r="F976" s="5">
        <v>60</v>
      </c>
      <c r="G976" s="5">
        <v>68</v>
      </c>
      <c r="H976" s="5">
        <v>41</v>
      </c>
      <c r="I976" s="6">
        <f t="shared" si="45"/>
        <v>-27</v>
      </c>
      <c r="J976">
        <f t="shared" si="46"/>
        <v>59.6</v>
      </c>
      <c r="K976" s="4" t="str">
        <f t="shared" si="47"/>
        <v>F</v>
      </c>
      <c r="L976">
        <f>IF(Helper!$E$3="All",1,IF(C976=Helper!$E$3,1,0))</f>
        <v>1</v>
      </c>
    </row>
    <row r="977" spans="1:12" x14ac:dyDescent="0.3">
      <c r="A977" s="3" t="s">
        <v>53</v>
      </c>
      <c r="B977" s="3" t="s">
        <v>52</v>
      </c>
      <c r="C977" s="3" t="s">
        <v>17</v>
      </c>
      <c r="D977" s="7">
        <v>0.68</v>
      </c>
      <c r="E977" s="5">
        <v>67</v>
      </c>
      <c r="F977" s="5">
        <v>90</v>
      </c>
      <c r="G977" s="5">
        <v>42</v>
      </c>
      <c r="H977" s="5">
        <v>89</v>
      </c>
      <c r="I977" s="6">
        <f t="shared" si="45"/>
        <v>47</v>
      </c>
      <c r="J977">
        <f t="shared" si="46"/>
        <v>60.25</v>
      </c>
      <c r="K977" s="4" t="str">
        <f t="shared" si="47"/>
        <v>D</v>
      </c>
      <c r="L977">
        <f>IF(Helper!$E$3="All",1,IF(C977=Helper!$E$3,1,0))</f>
        <v>1</v>
      </c>
    </row>
    <row r="978" spans="1:12" x14ac:dyDescent="0.3">
      <c r="A978" s="3" t="s">
        <v>51</v>
      </c>
      <c r="B978" s="3" t="s">
        <v>50</v>
      </c>
      <c r="C978" s="3" t="s">
        <v>3</v>
      </c>
      <c r="D978" s="7">
        <v>0.97</v>
      </c>
      <c r="E978" s="5">
        <v>50</v>
      </c>
      <c r="F978" s="5">
        <v>98</v>
      </c>
      <c r="G978" s="5">
        <v>83</v>
      </c>
      <c r="H978" s="5">
        <v>51</v>
      </c>
      <c r="I978" s="6">
        <f t="shared" si="45"/>
        <v>-32</v>
      </c>
      <c r="J978">
        <f t="shared" si="46"/>
        <v>71</v>
      </c>
      <c r="K978" s="4" t="str">
        <f t="shared" si="47"/>
        <v>C</v>
      </c>
      <c r="L978">
        <f>IF(Helper!$E$3="All",1,IF(C978=Helper!$E$3,1,0))</f>
        <v>1</v>
      </c>
    </row>
    <row r="979" spans="1:12" x14ac:dyDescent="0.3">
      <c r="A979" s="3" t="s">
        <v>49</v>
      </c>
      <c r="B979" s="3" t="s">
        <v>48</v>
      </c>
      <c r="C979" s="3" t="s">
        <v>3</v>
      </c>
      <c r="D979" s="7">
        <v>0.81</v>
      </c>
      <c r="E979" s="5">
        <v>94</v>
      </c>
      <c r="F979" s="5">
        <v>78</v>
      </c>
      <c r="G979" s="5">
        <v>52</v>
      </c>
      <c r="H979" s="5">
        <v>90</v>
      </c>
      <c r="I979" s="6">
        <f t="shared" si="45"/>
        <v>38</v>
      </c>
      <c r="J979">
        <f t="shared" si="46"/>
        <v>75.400000000000006</v>
      </c>
      <c r="K979" s="4" t="str">
        <f t="shared" si="47"/>
        <v>C</v>
      </c>
      <c r="L979">
        <f>IF(Helper!$E$3="All",1,IF(C979=Helper!$E$3,1,0))</f>
        <v>1</v>
      </c>
    </row>
    <row r="980" spans="1:12" x14ac:dyDescent="0.3">
      <c r="A980" s="3" t="s">
        <v>47</v>
      </c>
      <c r="B980" s="3" t="s">
        <v>46</v>
      </c>
      <c r="C980" s="3" t="s">
        <v>3</v>
      </c>
      <c r="D980" s="7">
        <v>0.61</v>
      </c>
      <c r="E980" s="5">
        <v>73</v>
      </c>
      <c r="F980" s="5">
        <v>94</v>
      </c>
      <c r="G980" s="5">
        <v>84</v>
      </c>
      <c r="H980" s="5">
        <v>65</v>
      </c>
      <c r="I980" s="6" t="str">
        <f t="shared" si="45"/>
        <v/>
      </c>
      <c r="J980">
        <f t="shared" si="46"/>
        <v>67.95</v>
      </c>
      <c r="K980" s="4" t="str">
        <f t="shared" si="47"/>
        <v>D</v>
      </c>
      <c r="L980">
        <f>IF(Helper!$E$3="All",1,IF(C980=Helper!$E$3,1,0))</f>
        <v>1</v>
      </c>
    </row>
    <row r="981" spans="1:12" x14ac:dyDescent="0.3">
      <c r="A981" s="3" t="s">
        <v>45</v>
      </c>
      <c r="B981" s="3" t="s">
        <v>44</v>
      </c>
      <c r="C981" s="3" t="s">
        <v>17</v>
      </c>
      <c r="D981" s="7">
        <v>0.83000000000000007</v>
      </c>
      <c r="E981" s="5">
        <v>47</v>
      </c>
      <c r="F981" s="5">
        <v>80</v>
      </c>
      <c r="G981" s="5">
        <v>49</v>
      </c>
      <c r="H981" s="5">
        <v>62</v>
      </c>
      <c r="I981" s="6">
        <f t="shared" si="45"/>
        <v>13</v>
      </c>
      <c r="J981">
        <f t="shared" si="46"/>
        <v>60.75</v>
      </c>
      <c r="K981" s="4" t="str">
        <f t="shared" si="47"/>
        <v>D</v>
      </c>
      <c r="L981">
        <f>IF(Helper!$E$3="All",1,IF(C981=Helper!$E$3,1,0))</f>
        <v>1</v>
      </c>
    </row>
    <row r="982" spans="1:12" x14ac:dyDescent="0.3">
      <c r="A982" s="3" t="s">
        <v>43</v>
      </c>
      <c r="B982" s="3" t="s">
        <v>42</v>
      </c>
      <c r="C982" s="3" t="s">
        <v>3</v>
      </c>
      <c r="D982" s="7">
        <v>0.67</v>
      </c>
      <c r="E982" s="5">
        <v>98</v>
      </c>
      <c r="F982" s="5">
        <v>78</v>
      </c>
      <c r="G982" s="5">
        <v>75</v>
      </c>
      <c r="H982" s="5">
        <v>57</v>
      </c>
      <c r="I982" s="6" t="str">
        <f t="shared" si="45"/>
        <v/>
      </c>
      <c r="J982">
        <f t="shared" si="46"/>
        <v>61.599999999999994</v>
      </c>
      <c r="K982" s="4" t="str">
        <f t="shared" si="47"/>
        <v>D</v>
      </c>
      <c r="L982">
        <f>IF(Helper!$E$3="All",1,IF(C982=Helper!$E$3,1,0))</f>
        <v>1</v>
      </c>
    </row>
    <row r="983" spans="1:12" x14ac:dyDescent="0.3">
      <c r="A983" s="3" t="s">
        <v>41</v>
      </c>
      <c r="B983" s="3" t="s">
        <v>40</v>
      </c>
      <c r="C983" s="3" t="s">
        <v>3</v>
      </c>
      <c r="D983" s="7">
        <v>0.70000000000000007</v>
      </c>
      <c r="E983" s="5">
        <v>61</v>
      </c>
      <c r="F983" s="5">
        <v>52</v>
      </c>
      <c r="G983" s="5">
        <v>48</v>
      </c>
      <c r="H983" s="5">
        <v>71</v>
      </c>
      <c r="I983" s="6">
        <f t="shared" si="45"/>
        <v>23</v>
      </c>
      <c r="J983">
        <f t="shared" si="46"/>
        <v>53.25</v>
      </c>
      <c r="K983" s="4" t="str">
        <f t="shared" si="47"/>
        <v>F</v>
      </c>
      <c r="L983">
        <f>IF(Helper!$E$3="All",1,IF(C983=Helper!$E$3,1,0))</f>
        <v>1</v>
      </c>
    </row>
    <row r="984" spans="1:12" x14ac:dyDescent="0.3">
      <c r="A984" s="3" t="s">
        <v>39</v>
      </c>
      <c r="B984" s="3" t="s">
        <v>38</v>
      </c>
      <c r="C984" s="3" t="s">
        <v>3</v>
      </c>
      <c r="D984" s="7">
        <v>0.72</v>
      </c>
      <c r="E984" s="5">
        <v>47</v>
      </c>
      <c r="F984" s="5">
        <v>50</v>
      </c>
      <c r="G984" s="5">
        <v>93</v>
      </c>
      <c r="H984" s="5">
        <v>88</v>
      </c>
      <c r="I984" s="6" t="str">
        <f t="shared" si="45"/>
        <v/>
      </c>
      <c r="J984">
        <f t="shared" si="46"/>
        <v>87.25</v>
      </c>
      <c r="K984" s="4" t="str">
        <f t="shared" si="47"/>
        <v>B</v>
      </c>
      <c r="L984">
        <f>IF(Helper!$E$3="All",1,IF(C984=Helper!$E$3,1,0))</f>
        <v>1</v>
      </c>
    </row>
    <row r="985" spans="1:12" x14ac:dyDescent="0.3">
      <c r="A985" s="3" t="s">
        <v>37</v>
      </c>
      <c r="B985" s="3" t="s">
        <v>36</v>
      </c>
      <c r="C985" s="3" t="s">
        <v>8</v>
      </c>
      <c r="D985" s="7">
        <v>0.76</v>
      </c>
      <c r="E985" s="5">
        <v>88</v>
      </c>
      <c r="F985" s="5">
        <v>85</v>
      </c>
      <c r="G985" s="5">
        <v>95</v>
      </c>
      <c r="H985" s="5">
        <v>77</v>
      </c>
      <c r="I985" s="6" t="str">
        <f t="shared" si="45"/>
        <v/>
      </c>
      <c r="J985">
        <f t="shared" si="46"/>
        <v>87.45</v>
      </c>
      <c r="K985" s="4" t="str">
        <f t="shared" si="47"/>
        <v>B</v>
      </c>
      <c r="L985">
        <f>IF(Helper!$E$3="All",1,IF(C985=Helper!$E$3,1,0))</f>
        <v>1</v>
      </c>
    </row>
    <row r="986" spans="1:12" x14ac:dyDescent="0.3">
      <c r="A986" s="3" t="s">
        <v>35</v>
      </c>
      <c r="B986" s="3" t="s">
        <v>34</v>
      </c>
      <c r="C986" s="3" t="s">
        <v>3</v>
      </c>
      <c r="D986" s="7">
        <v>0.67</v>
      </c>
      <c r="E986" s="5">
        <v>54</v>
      </c>
      <c r="F986" s="5">
        <v>58</v>
      </c>
      <c r="G986" s="5">
        <v>94</v>
      </c>
      <c r="H986" s="5">
        <v>96</v>
      </c>
      <c r="I986" s="6" t="str">
        <f t="shared" si="45"/>
        <v/>
      </c>
      <c r="J986">
        <f t="shared" si="46"/>
        <v>81.599999999999994</v>
      </c>
      <c r="K986" s="4" t="str">
        <f t="shared" si="47"/>
        <v>B</v>
      </c>
      <c r="L986">
        <f>IF(Helper!$E$3="All",1,IF(C986=Helper!$E$3,1,0))</f>
        <v>1</v>
      </c>
    </row>
    <row r="987" spans="1:12" x14ac:dyDescent="0.3">
      <c r="A987" s="3" t="s">
        <v>33</v>
      </c>
      <c r="B987" s="3" t="s">
        <v>32</v>
      </c>
      <c r="C987" s="3" t="s">
        <v>17</v>
      </c>
      <c r="D987" s="7">
        <v>0.8</v>
      </c>
      <c r="E987" s="5">
        <v>56</v>
      </c>
      <c r="F987" s="5">
        <v>50</v>
      </c>
      <c r="G987" s="5">
        <v>66</v>
      </c>
      <c r="H987" s="5">
        <v>86</v>
      </c>
      <c r="I987" s="6">
        <f t="shared" si="45"/>
        <v>20</v>
      </c>
      <c r="J987">
        <f t="shared" si="46"/>
        <v>76.099999999999994</v>
      </c>
      <c r="K987" s="4" t="str">
        <f t="shared" si="47"/>
        <v>C</v>
      </c>
      <c r="L987">
        <f>IF(Helper!$E$3="All",1,IF(C987=Helper!$E$3,1,0))</f>
        <v>1</v>
      </c>
    </row>
    <row r="988" spans="1:12" x14ac:dyDescent="0.3">
      <c r="A988" s="3" t="s">
        <v>31</v>
      </c>
      <c r="B988" s="3" t="s">
        <v>30</v>
      </c>
      <c r="C988" s="3" t="s">
        <v>3</v>
      </c>
      <c r="D988" s="7">
        <v>0.77</v>
      </c>
      <c r="E988" s="5">
        <v>99</v>
      </c>
      <c r="F988" s="5">
        <v>52</v>
      </c>
      <c r="G988" s="5">
        <v>73</v>
      </c>
      <c r="H988" s="5">
        <v>42</v>
      </c>
      <c r="I988" s="6">
        <f t="shared" si="45"/>
        <v>-31</v>
      </c>
      <c r="J988">
        <f t="shared" si="46"/>
        <v>63.55</v>
      </c>
      <c r="K988" s="4" t="str">
        <f t="shared" si="47"/>
        <v>D</v>
      </c>
      <c r="L988">
        <f>IF(Helper!$E$3="All",1,IF(C988=Helper!$E$3,1,0))</f>
        <v>1</v>
      </c>
    </row>
    <row r="989" spans="1:12" x14ac:dyDescent="0.3">
      <c r="A989" s="3" t="s">
        <v>29</v>
      </c>
      <c r="B989" s="3" t="s">
        <v>28</v>
      </c>
      <c r="C989" s="3" t="s">
        <v>3</v>
      </c>
      <c r="D989" s="7">
        <v>0.89</v>
      </c>
      <c r="E989" s="5">
        <v>62</v>
      </c>
      <c r="F989" s="5">
        <v>85</v>
      </c>
      <c r="G989" s="5">
        <v>90</v>
      </c>
      <c r="H989" s="5">
        <v>77</v>
      </c>
      <c r="I989" s="6" t="str">
        <f t="shared" si="45"/>
        <v/>
      </c>
      <c r="J989">
        <f t="shared" si="46"/>
        <v>84.15</v>
      </c>
      <c r="K989" s="4" t="str">
        <f t="shared" si="47"/>
        <v>B</v>
      </c>
      <c r="L989">
        <f>IF(Helper!$E$3="All",1,IF(C989=Helper!$E$3,1,0))</f>
        <v>1</v>
      </c>
    </row>
    <row r="990" spans="1:12" x14ac:dyDescent="0.3">
      <c r="A990" s="3" t="s">
        <v>27</v>
      </c>
      <c r="B990" s="3" t="s">
        <v>26</v>
      </c>
      <c r="C990" s="3" t="s">
        <v>17</v>
      </c>
      <c r="D990" s="7">
        <v>0.77</v>
      </c>
      <c r="E990" s="5">
        <v>63</v>
      </c>
      <c r="F990" s="5">
        <v>84</v>
      </c>
      <c r="G990" s="5">
        <v>40</v>
      </c>
      <c r="H990" s="5">
        <v>42</v>
      </c>
      <c r="I990" s="6" t="str">
        <f t="shared" si="45"/>
        <v/>
      </c>
      <c r="J990">
        <f t="shared" si="46"/>
        <v>50.150000000000006</v>
      </c>
      <c r="K990" s="4" t="str">
        <f t="shared" si="47"/>
        <v>F</v>
      </c>
      <c r="L990">
        <f>IF(Helper!$E$3="All",1,IF(C990=Helper!$E$3,1,0))</f>
        <v>1</v>
      </c>
    </row>
    <row r="991" spans="1:12" x14ac:dyDescent="0.3">
      <c r="A991" s="3" t="s">
        <v>25</v>
      </c>
      <c r="B991" s="3" t="s">
        <v>24</v>
      </c>
      <c r="C991" s="3" t="s">
        <v>3</v>
      </c>
      <c r="D991" s="7">
        <v>0.9</v>
      </c>
      <c r="E991" s="5">
        <v>84</v>
      </c>
      <c r="F991" s="5">
        <v>40</v>
      </c>
      <c r="G991" s="5">
        <v>71</v>
      </c>
      <c r="H991" s="5">
        <v>69</v>
      </c>
      <c r="I991" s="6" t="str">
        <f t="shared" si="45"/>
        <v/>
      </c>
      <c r="J991">
        <f t="shared" si="46"/>
        <v>72.199999999999989</v>
      </c>
      <c r="K991" s="4" t="str">
        <f t="shared" si="47"/>
        <v>C</v>
      </c>
      <c r="L991">
        <f>IF(Helper!$E$3="All",1,IF(C991=Helper!$E$3,1,0))</f>
        <v>1</v>
      </c>
    </row>
    <row r="992" spans="1:12" x14ac:dyDescent="0.3">
      <c r="A992" s="3" t="s">
        <v>23</v>
      </c>
      <c r="B992" s="3" t="s">
        <v>22</v>
      </c>
      <c r="C992" s="3" t="s">
        <v>17</v>
      </c>
      <c r="D992" s="7">
        <v>0.97</v>
      </c>
      <c r="E992" s="5">
        <v>58</v>
      </c>
      <c r="F992" s="5">
        <v>79</v>
      </c>
      <c r="G992" s="5">
        <v>64</v>
      </c>
      <c r="H992" s="5">
        <v>100</v>
      </c>
      <c r="I992" s="6">
        <f t="shared" si="45"/>
        <v>36</v>
      </c>
      <c r="J992">
        <f t="shared" si="46"/>
        <v>82.45</v>
      </c>
      <c r="K992" s="4" t="str">
        <f t="shared" si="47"/>
        <v>B</v>
      </c>
      <c r="L992">
        <f>IF(Helper!$E$3="All",1,IF(C992=Helper!$E$3,1,0))</f>
        <v>1</v>
      </c>
    </row>
    <row r="993" spans="1:12" x14ac:dyDescent="0.3">
      <c r="A993" s="3" t="s">
        <v>21</v>
      </c>
      <c r="B993" s="3" t="s">
        <v>20</v>
      </c>
      <c r="C993" s="3" t="s">
        <v>3</v>
      </c>
      <c r="D993" s="7">
        <v>0.91</v>
      </c>
      <c r="E993" s="5">
        <v>44</v>
      </c>
      <c r="F993" s="5">
        <v>83</v>
      </c>
      <c r="G993" s="5">
        <v>68</v>
      </c>
      <c r="H993" s="5">
        <v>40</v>
      </c>
      <c r="I993" s="6">
        <f t="shared" si="45"/>
        <v>-28</v>
      </c>
      <c r="J993">
        <f t="shared" si="46"/>
        <v>59.55</v>
      </c>
      <c r="K993" s="4" t="str">
        <f t="shared" si="47"/>
        <v>F</v>
      </c>
      <c r="L993">
        <f>IF(Helper!$E$3="All",1,IF(C993=Helper!$E$3,1,0))</f>
        <v>1</v>
      </c>
    </row>
    <row r="994" spans="1:12" x14ac:dyDescent="0.3">
      <c r="A994" s="3" t="s">
        <v>19</v>
      </c>
      <c r="B994" s="3" t="s">
        <v>18</v>
      </c>
      <c r="C994" s="3" t="s">
        <v>17</v>
      </c>
      <c r="D994" s="7">
        <v>0.70000000000000007</v>
      </c>
      <c r="E994" s="5">
        <v>71</v>
      </c>
      <c r="F994" s="5">
        <v>58</v>
      </c>
      <c r="G994" s="5">
        <v>46</v>
      </c>
      <c r="H994" s="5">
        <v>69</v>
      </c>
      <c r="I994" s="6">
        <f t="shared" si="45"/>
        <v>23</v>
      </c>
      <c r="J994">
        <f t="shared" si="46"/>
        <v>52.45</v>
      </c>
      <c r="K994" s="4" t="str">
        <f t="shared" si="47"/>
        <v>F</v>
      </c>
      <c r="L994">
        <f>IF(Helper!$E$3="All",1,IF(C994=Helper!$E$3,1,0))</f>
        <v>1</v>
      </c>
    </row>
    <row r="995" spans="1:12" x14ac:dyDescent="0.3">
      <c r="A995" s="3" t="s">
        <v>16</v>
      </c>
      <c r="B995" s="3" t="s">
        <v>15</v>
      </c>
      <c r="C995" s="3" t="s">
        <v>3</v>
      </c>
      <c r="D995" s="7">
        <v>0.34</v>
      </c>
      <c r="E995" s="5">
        <v>83</v>
      </c>
      <c r="F995" s="5">
        <v>51</v>
      </c>
      <c r="G995" s="5">
        <v>88</v>
      </c>
      <c r="H995" s="5">
        <v>84</v>
      </c>
      <c r="I995" s="6" t="str">
        <f t="shared" si="45"/>
        <v/>
      </c>
      <c r="J995">
        <f t="shared" si="46"/>
        <v>75.5</v>
      </c>
      <c r="K995" s="4" t="str">
        <f t="shared" si="47"/>
        <v>C</v>
      </c>
      <c r="L995">
        <f>IF(Helper!$E$3="All",1,IF(C995=Helper!$E$3,1,0))</f>
        <v>1</v>
      </c>
    </row>
    <row r="996" spans="1:12" x14ac:dyDescent="0.3">
      <c r="A996" s="3" t="s">
        <v>14</v>
      </c>
      <c r="B996" s="3" t="s">
        <v>13</v>
      </c>
      <c r="C996" s="3" t="s">
        <v>3</v>
      </c>
      <c r="D996" s="7">
        <v>0.92</v>
      </c>
      <c r="E996" s="5">
        <v>40</v>
      </c>
      <c r="F996" s="5">
        <v>47</v>
      </c>
      <c r="G996" s="5">
        <v>42</v>
      </c>
      <c r="H996" s="5">
        <v>71</v>
      </c>
      <c r="I996" s="6">
        <f t="shared" si="45"/>
        <v>29</v>
      </c>
      <c r="J996">
        <f t="shared" si="46"/>
        <v>59.55</v>
      </c>
      <c r="K996" s="4" t="str">
        <f t="shared" si="47"/>
        <v>F</v>
      </c>
      <c r="L996">
        <f>IF(Helper!$E$3="All",1,IF(C996=Helper!$E$3,1,0))</f>
        <v>1</v>
      </c>
    </row>
    <row r="997" spans="1:12" x14ac:dyDescent="0.3">
      <c r="A997" s="3" t="s">
        <v>12</v>
      </c>
      <c r="B997" s="3" t="s">
        <v>11</v>
      </c>
      <c r="C997" s="3" t="s">
        <v>8</v>
      </c>
      <c r="D997" s="7">
        <v>0.97</v>
      </c>
      <c r="E997" s="5">
        <v>62</v>
      </c>
      <c r="F997" s="5">
        <v>47</v>
      </c>
      <c r="G997" s="5">
        <v>59</v>
      </c>
      <c r="H997" s="5">
        <v>67</v>
      </c>
      <c r="I997" s="6" t="str">
        <f t="shared" si="45"/>
        <v/>
      </c>
      <c r="J997">
        <f t="shared" si="46"/>
        <v>65.849999999999994</v>
      </c>
      <c r="K997" s="4" t="str">
        <f t="shared" si="47"/>
        <v>D</v>
      </c>
      <c r="L997">
        <f>IF(Helper!$E$3="All",1,IF(C997=Helper!$E$3,1,0))</f>
        <v>1</v>
      </c>
    </row>
    <row r="998" spans="1:12" x14ac:dyDescent="0.3">
      <c r="A998" s="3" t="s">
        <v>10</v>
      </c>
      <c r="B998" s="3" t="s">
        <v>9</v>
      </c>
      <c r="C998" s="3" t="s">
        <v>8</v>
      </c>
      <c r="D998" s="7">
        <v>1</v>
      </c>
      <c r="E998" s="5">
        <v>76</v>
      </c>
      <c r="F998" s="5">
        <v>100</v>
      </c>
      <c r="G998" s="5">
        <v>59</v>
      </c>
      <c r="H998" s="5">
        <v>60</v>
      </c>
      <c r="I998" s="6" t="str">
        <f t="shared" si="45"/>
        <v/>
      </c>
      <c r="J998">
        <f t="shared" si="46"/>
        <v>66.400000000000006</v>
      </c>
      <c r="K998" s="4" t="str">
        <f t="shared" si="47"/>
        <v>D</v>
      </c>
      <c r="L998">
        <f>IF(Helper!$E$3="All",1,IF(C998=Helper!$E$3,1,0))</f>
        <v>1</v>
      </c>
    </row>
    <row r="999" spans="1:12" x14ac:dyDescent="0.3">
      <c r="A999" s="3" t="s">
        <v>7</v>
      </c>
      <c r="B999" s="3" t="s">
        <v>6</v>
      </c>
      <c r="C999" s="3" t="s">
        <v>3</v>
      </c>
      <c r="D999" s="7">
        <v>0.67</v>
      </c>
      <c r="E999" s="5">
        <v>47</v>
      </c>
      <c r="F999" s="5">
        <v>92</v>
      </c>
      <c r="G999" s="5">
        <v>92</v>
      </c>
      <c r="H999" s="5">
        <v>97</v>
      </c>
      <c r="I999" s="6" t="str">
        <f t="shared" si="45"/>
        <v/>
      </c>
      <c r="J999">
        <f t="shared" si="46"/>
        <v>82.550000000000011</v>
      </c>
      <c r="K999" s="4" t="str">
        <f t="shared" si="47"/>
        <v>B</v>
      </c>
      <c r="L999">
        <f>IF(Helper!$E$3="All",1,IF(C999=Helper!$E$3,1,0))</f>
        <v>1</v>
      </c>
    </row>
    <row r="1000" spans="1:12" x14ac:dyDescent="0.3">
      <c r="A1000" s="3" t="s">
        <v>5</v>
      </c>
      <c r="B1000" s="3" t="s">
        <v>4</v>
      </c>
      <c r="C1000" s="3" t="s">
        <v>3</v>
      </c>
      <c r="D1000" s="7">
        <v>0.70000000000000007</v>
      </c>
      <c r="E1000" s="5">
        <v>52</v>
      </c>
      <c r="F1000" s="5">
        <v>84</v>
      </c>
      <c r="G1000" s="5">
        <v>69</v>
      </c>
      <c r="H1000" s="5">
        <v>85</v>
      </c>
      <c r="I1000" s="6">
        <f t="shared" si="45"/>
        <v>16</v>
      </c>
      <c r="J1000">
        <f t="shared" si="46"/>
        <v>68.400000000000006</v>
      </c>
      <c r="K1000" s="4" t="str">
        <f t="shared" si="47"/>
        <v>D</v>
      </c>
      <c r="L1000">
        <f>IF(Helper!$E$3="All",1,IF(C1000=Helper!$E$3,1,0))</f>
        <v>1</v>
      </c>
    </row>
    <row r="1001" spans="1:12" x14ac:dyDescent="0.3">
      <c r="A1001" s="3" t="s">
        <v>2</v>
      </c>
      <c r="B1001" s="3" t="s">
        <v>1</v>
      </c>
      <c r="C1001" s="3" t="s">
        <v>0</v>
      </c>
      <c r="D1001" s="7">
        <v>0.21</v>
      </c>
      <c r="E1001" s="5">
        <v>47</v>
      </c>
      <c r="F1001" s="5">
        <v>51</v>
      </c>
      <c r="G1001" s="5">
        <v>74</v>
      </c>
      <c r="H1001" s="5">
        <v>52</v>
      </c>
      <c r="I1001" s="6" t="str">
        <f t="shared" si="45"/>
        <v/>
      </c>
      <c r="J1001">
        <f t="shared" si="46"/>
        <v>55.3</v>
      </c>
      <c r="K1001" s="4" t="str">
        <f t="shared" si="47"/>
        <v>F</v>
      </c>
      <c r="L1001">
        <f>IF(Helper!$E$3="All",1,IF(C1001=Helper!$E$3,1,0))</f>
        <v>1</v>
      </c>
    </row>
    <row r="1003" spans="1:12" x14ac:dyDescent="0.3">
      <c r="A1003" s="3"/>
      <c r="B1003" s="3"/>
      <c r="D1003"/>
      <c r="K1003"/>
    </row>
    <row r="1004" spans="1:12" x14ac:dyDescent="0.3">
      <c r="A1004" s="3"/>
      <c r="B1004" s="3"/>
      <c r="C1004" s="3"/>
      <c r="D1004" s="3"/>
      <c r="E1004" s="3"/>
      <c r="F1004" s="3"/>
      <c r="G1004" s="3"/>
      <c r="H1004" s="3"/>
      <c r="I1004" s="3"/>
      <c r="K1004" s="3"/>
    </row>
  </sheetData>
  <conditionalFormatting sqref="D1:D1002 D1005:D1048576">
    <cfRule type="expression" dxfId="12" priority="3">
      <formula>AND(D1 &lt; 0.7, D1 &lt;&gt; 0, NOT(ISBLANK(D1)))</formula>
    </cfRule>
  </conditionalFormatting>
  <conditionalFormatting sqref="K1:K1048576">
    <cfRule type="containsText" dxfId="11" priority="1" operator="containsText" text="F">
      <formula>NOT(ISERROR(SEARCH("F",K1)))</formula>
    </cfRule>
    <cfRule type="containsText" dxfId="10" priority="2" operator="containsText" text="A">
      <formula>NOT(ISERROR(SEARCH("A",K1)))</formula>
    </cfRule>
  </conditionalFormatting>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C28E3860-FAF3-4B4B-9AAB-8A19FC20C153}">
  <ds:schemaRefs/>
</ds:datastoreItem>
</file>

<file path=customXml/itemProps2.xml><?xml version="1.0" encoding="utf-8"?>
<ds:datastoreItem xmlns:ds="http://schemas.openxmlformats.org/officeDocument/2006/customXml" ds:itemID="{256BBBF7-54C5-40E4-81AD-9CADB62DD682}">
  <ds:schemaRefs/>
</ds:datastoreItem>
</file>

<file path=customXml/itemProps3.xml><?xml version="1.0" encoding="utf-8"?>
<ds:datastoreItem xmlns:ds="http://schemas.openxmlformats.org/officeDocument/2006/customXml" ds:itemID="{04FA3869-348F-4FB8-8A87-9F5A297E464A}">
  <ds:schemaRefs/>
</ds:datastoreItem>
</file>

<file path=customXml/itemProps4.xml><?xml version="1.0" encoding="utf-8"?>
<ds:datastoreItem xmlns:ds="http://schemas.openxmlformats.org/officeDocument/2006/customXml" ds:itemID="{38BAFA06-3FEF-4D98-BFD5-53F6A94A9FCA}">
  <ds:schemaRefs/>
</ds:datastoreItem>
</file>

<file path=customXml/itemProps5.xml><?xml version="1.0" encoding="utf-8"?>
<ds:datastoreItem xmlns:ds="http://schemas.openxmlformats.org/officeDocument/2006/customXml" ds:itemID="{441EA098-B38A-4C35-996A-BB3AA9F01A41}">
  <ds:schemaRefs/>
</ds:datastoreItem>
</file>

<file path=customXml/itemProps6.xml><?xml version="1.0" encoding="utf-8"?>
<ds:datastoreItem xmlns:ds="http://schemas.openxmlformats.org/officeDocument/2006/customXml" ds:itemID="{170B47B3-5D96-4910-A95C-8CE0DD219DE7}">
  <ds:schemaRefs/>
</ds:datastoreItem>
</file>

<file path=customXml/itemProps7.xml><?xml version="1.0" encoding="utf-8"?>
<ds:datastoreItem xmlns:ds="http://schemas.openxmlformats.org/officeDocument/2006/customXml" ds:itemID="{50E754B6-6092-4D19-B0C0-AA8E85AFBA45}">
  <ds:schemaRefs/>
</ds:datastoreItem>
</file>

<file path=customXml/itemProps8.xml><?xml version="1.0" encoding="utf-8"?>
<ds:datastoreItem xmlns:ds="http://schemas.openxmlformats.org/officeDocument/2006/customXml" ds:itemID="{A35A6A89-97CF-4416-9F62-C7683C48E01A}">
  <ds:schemaRefs/>
</ds:datastoreItem>
</file>

<file path=customXml/itemProps9.xml><?xml version="1.0" encoding="utf-8"?>
<ds:datastoreItem xmlns:ds="http://schemas.openxmlformats.org/officeDocument/2006/customXml" ds:itemID="{000A49E8-5AEF-426C-B728-2231ABC29EA3}">
  <ds:schemaRefs/>
</ds:datastoreItem>
</file>

<file path=customXml/itemProps10.xml><?xml version="1.0" encoding="utf-8"?>
<ds:datastoreItem xmlns:ds="http://schemas.openxmlformats.org/officeDocument/2006/customXml" ds:itemID="{B59C39C1-7252-476D-8857-84C271DE2377}">
  <ds:schemaRefs/>
</ds:datastoreItem>
</file>

<file path=customXml/itemProps11.xml><?xml version="1.0" encoding="utf-8"?>
<ds:datastoreItem xmlns:ds="http://schemas.openxmlformats.org/officeDocument/2006/customXml" ds:itemID="{AB56A3DC-1965-4B12-9B0C-031E32D69CD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Pivot_Data</vt:lpstr>
      <vt:lpstr>Dashboard</vt:lpstr>
      <vt:lpstr>Helper</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Ahasan Jesun</dc:creator>
  <cp:lastModifiedBy>Tanvir Ahasan Jesun</cp:lastModifiedBy>
  <dcterms:created xsi:type="dcterms:W3CDTF">2025-11-14T16:51:21Z</dcterms:created>
  <dcterms:modified xsi:type="dcterms:W3CDTF">2025-11-18T12:22:26Z</dcterms:modified>
</cp:coreProperties>
</file>